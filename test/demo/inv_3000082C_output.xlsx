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明细" sheetId="1" state="visible" r:id="rId1"/>
    <sheet name="Sheet1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2" customWidth="1" min="3" max="3"/>
    <col width="14" customWidth="1" min="4" max="4"/>
    <col width="10" customWidth="1" min="5" max="5"/>
    <col width="6" customWidth="1" min="6" max="6"/>
    <col width="6" customWidth="1" min="7" max="7"/>
    <col width="6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货号</t>
        </is>
      </c>
      <c r="B1" s="1" t="inlineStr">
        <is>
          <t>4微</t>
        </is>
      </c>
      <c r="C1" s="1" t="inlineStr">
        <is>
          <t>报关用</t>
        </is>
      </c>
      <c r="D1" s="1" t="inlineStr">
        <is>
          <t>货品名称</t>
        </is>
      </c>
      <c r="E1" s="1" t="inlineStr">
        <is>
          <t>颜色编号</t>
        </is>
      </c>
      <c r="F1" s="1" t="inlineStr">
        <is>
          <t>内长</t>
        </is>
      </c>
      <c r="G1" s="1" t="inlineStr">
        <is>
          <t>尺码</t>
        </is>
      </c>
      <c r="H1" s="1" t="inlineStr">
        <is>
          <t>数量</t>
        </is>
      </c>
      <c r="I1" s="1" t="inlineStr">
        <is>
          <t>单价</t>
        </is>
      </c>
      <c r="J1" s="1" t="inlineStr">
        <is>
          <t>折后单价</t>
        </is>
      </c>
      <c r="K1" s="1" t="inlineStr">
        <is>
          <t>含运费单价</t>
        </is>
      </c>
      <c r="L1" s="1" t="inlineStr">
        <is>
          <t>总价</t>
        </is>
      </c>
      <c r="M1" s="1" t="inlineStr">
        <is>
          <t>含运费总价</t>
        </is>
      </c>
    </row>
    <row r="2">
      <c r="A2" t="inlineStr">
        <is>
          <t>56006900</t>
        </is>
      </c>
      <c r="B2">
        <f>LEFT(A2,4)</f>
        <v/>
      </c>
      <c r="C2" t="inlineStr">
        <is>
          <t>MONACO/TINN GTX</t>
        </is>
      </c>
      <c r="E2">
        <f>"8"&amp;RIGHT(A2,4)</f>
        <v/>
      </c>
      <c r="F2" t="n">
        <v>0</v>
      </c>
      <c r="G2" t="n">
        <v>35</v>
      </c>
      <c r="H2" t="n">
        <v>1</v>
      </c>
      <c r="I2" t="n">
        <v>107.3</v>
      </c>
      <c r="J2">
        <f>I2*0.97</f>
        <v/>
      </c>
      <c r="K2">
        <f>J2</f>
        <v/>
      </c>
      <c r="L2">
        <f>H2*J2</f>
        <v/>
      </c>
      <c r="M2">
        <f>K2*H2</f>
        <v/>
      </c>
    </row>
    <row r="3">
      <c r="A3">
        <f>A2</f>
        <v/>
      </c>
      <c r="B3">
        <f>LEFT(A3,4)</f>
        <v/>
      </c>
      <c r="C3" t="inlineStr">
        <is>
          <t>MONACO/TINN GTX</t>
        </is>
      </c>
      <c r="E3">
        <f>"8"&amp;RIGHT(A3,4)</f>
        <v/>
      </c>
      <c r="F3" t="n">
        <v>0</v>
      </c>
      <c r="G3" t="n">
        <v>36</v>
      </c>
      <c r="H3" t="n">
        <v>1</v>
      </c>
      <c r="I3" t="n">
        <v>107.3</v>
      </c>
      <c r="J3">
        <f>I3*0.97</f>
        <v/>
      </c>
      <c r="K3">
        <f>J3</f>
        <v/>
      </c>
      <c r="L3">
        <f>H3*J3</f>
        <v/>
      </c>
      <c r="M3">
        <f>K3*H3</f>
        <v/>
      </c>
    </row>
    <row r="4">
      <c r="A4">
        <f>A3</f>
        <v/>
      </c>
      <c r="B4">
        <f>LEFT(A4,4)</f>
        <v/>
      </c>
      <c r="C4" t="inlineStr">
        <is>
          <t>MONACO/TINN GTX</t>
        </is>
      </c>
      <c r="E4">
        <f>"8"&amp;RIGHT(A4,4)</f>
        <v/>
      </c>
      <c r="F4" t="n">
        <v>0</v>
      </c>
      <c r="G4" t="n">
        <v>38</v>
      </c>
      <c r="H4" t="n">
        <v>1</v>
      </c>
      <c r="I4" t="n">
        <v>107.3</v>
      </c>
      <c r="J4">
        <f>I4*0.97</f>
        <v/>
      </c>
      <c r="K4">
        <f>J4</f>
        <v/>
      </c>
      <c r="L4">
        <f>H4*J4</f>
        <v/>
      </c>
      <c r="M4">
        <f>K4*H4</f>
        <v/>
      </c>
    </row>
    <row r="5">
      <c r="A5">
        <f>A4</f>
        <v/>
      </c>
      <c r="B5">
        <f>LEFT(A5,4)</f>
        <v/>
      </c>
      <c r="C5" t="inlineStr">
        <is>
          <t>MONACO/TINN GTX</t>
        </is>
      </c>
      <c r="E5">
        <f>"8"&amp;RIGHT(A5,4)</f>
        <v/>
      </c>
      <c r="F5" t="n">
        <v>0</v>
      </c>
      <c r="G5" t="n">
        <v>39</v>
      </c>
      <c r="H5" t="n">
        <v>3</v>
      </c>
      <c r="I5" t="n">
        <v>107.3</v>
      </c>
      <c r="J5">
        <f>I5*0.97</f>
        <v/>
      </c>
      <c r="K5">
        <f>J5</f>
        <v/>
      </c>
      <c r="L5">
        <f>H5*J5</f>
        <v/>
      </c>
      <c r="M5">
        <f>K5*H5</f>
        <v/>
      </c>
    </row>
    <row r="6">
      <c r="A6">
        <f>A5</f>
        <v/>
      </c>
      <c r="B6">
        <f>LEFT(A6,4)</f>
        <v/>
      </c>
      <c r="C6" t="inlineStr">
        <is>
          <t>MONACO/TINN GTX</t>
        </is>
      </c>
      <c r="E6">
        <f>"8"&amp;RIGHT(A6,4)</f>
        <v/>
      </c>
      <c r="F6" t="n">
        <v>0</v>
      </c>
      <c r="G6" t="n">
        <v>40</v>
      </c>
      <c r="H6" t="n">
        <v>2</v>
      </c>
      <c r="I6" t="n">
        <v>107.3</v>
      </c>
      <c r="J6">
        <f>I6*0.97</f>
        <v/>
      </c>
      <c r="K6">
        <f>J6</f>
        <v/>
      </c>
      <c r="L6">
        <f>H6*J6</f>
        <v/>
      </c>
      <c r="M6">
        <f>K6*H6</f>
        <v/>
      </c>
    </row>
    <row r="7">
      <c r="A7">
        <f>A6</f>
        <v/>
      </c>
      <c r="B7">
        <f>LEFT(A7,4)</f>
        <v/>
      </c>
      <c r="C7" t="inlineStr">
        <is>
          <t>MONACO/TINN GTX</t>
        </is>
      </c>
      <c r="E7">
        <f>"8"&amp;RIGHT(A7,4)</f>
        <v/>
      </c>
      <c r="F7" t="n">
        <v>0</v>
      </c>
      <c r="G7" t="n">
        <v>41</v>
      </c>
      <c r="H7" t="n">
        <v>6</v>
      </c>
      <c r="I7" t="n">
        <v>107.3</v>
      </c>
      <c r="J7">
        <f>I7*0.97</f>
        <v/>
      </c>
      <c r="K7">
        <f>J7</f>
        <v/>
      </c>
      <c r="L7">
        <f>H7*J7</f>
        <v/>
      </c>
      <c r="M7">
        <f>K7*H7</f>
        <v/>
      </c>
    </row>
    <row r="8">
      <c r="A8">
        <f>A7</f>
        <v/>
      </c>
      <c r="B8">
        <f>LEFT(A8,4)</f>
        <v/>
      </c>
      <c r="C8" t="inlineStr">
        <is>
          <t>MONACO/TINN GTX</t>
        </is>
      </c>
      <c r="E8">
        <f>"8"&amp;RIGHT(A8,4)</f>
        <v/>
      </c>
      <c r="F8" t="n">
        <v>0</v>
      </c>
      <c r="G8" t="n">
        <v>42</v>
      </c>
      <c r="H8" t="n">
        <v>13</v>
      </c>
      <c r="I8" t="n">
        <v>107.3</v>
      </c>
      <c r="J8">
        <f>I8*0.97</f>
        <v/>
      </c>
      <c r="K8">
        <f>J8</f>
        <v/>
      </c>
      <c r="L8">
        <f>H8*J8</f>
        <v/>
      </c>
      <c r="M8">
        <f>K8*H8</f>
        <v/>
      </c>
    </row>
    <row r="9">
      <c r="A9">
        <f>A8</f>
        <v/>
      </c>
      <c r="B9">
        <f>LEFT(A9,4)</f>
        <v/>
      </c>
      <c r="C9" t="inlineStr">
        <is>
          <t>MONACO/TINN GTX</t>
        </is>
      </c>
      <c r="E9">
        <f>"8"&amp;RIGHT(A9,4)</f>
        <v/>
      </c>
      <c r="F9" t="n">
        <v>0</v>
      </c>
      <c r="G9" t="n">
        <v>43</v>
      </c>
      <c r="H9" t="n">
        <v>2</v>
      </c>
      <c r="I9" t="n">
        <v>107.3</v>
      </c>
      <c r="J9">
        <f>I9*0.97</f>
        <v/>
      </c>
      <c r="K9">
        <f>J9</f>
        <v/>
      </c>
      <c r="L9">
        <f>H9*J9</f>
        <v/>
      </c>
      <c r="M9">
        <f>K9*H9</f>
        <v/>
      </c>
    </row>
    <row r="10">
      <c r="A10">
        <f>A9</f>
        <v/>
      </c>
      <c r="B10">
        <f>LEFT(A10,4)</f>
        <v/>
      </c>
      <c r="C10" t="inlineStr">
        <is>
          <t>MONACO/TINN GTX</t>
        </is>
      </c>
      <c r="E10">
        <f>"8"&amp;RIGHT(A10,4)</f>
        <v/>
      </c>
      <c r="F10" t="n">
        <v>0</v>
      </c>
      <c r="G10" t="n">
        <v>44</v>
      </c>
      <c r="H10" t="n">
        <v>3</v>
      </c>
      <c r="I10" t="n">
        <v>107.3</v>
      </c>
      <c r="J10">
        <f>I10*0.97</f>
        <v/>
      </c>
      <c r="K10">
        <f>J10</f>
        <v/>
      </c>
      <c r="L10">
        <f>H10*J10</f>
        <v/>
      </c>
      <c r="M10">
        <f>K10*H10</f>
        <v/>
      </c>
    </row>
    <row r="11">
      <c r="A11">
        <f>A10</f>
        <v/>
      </c>
      <c r="B11">
        <f>LEFT(A11,4)</f>
        <v/>
      </c>
      <c r="C11" t="inlineStr">
        <is>
          <t>MONACO/TINN GTX</t>
        </is>
      </c>
      <c r="E11">
        <f>"8"&amp;RIGHT(A11,4)</f>
        <v/>
      </c>
      <c r="F11" t="n">
        <v>0</v>
      </c>
      <c r="G11" t="n">
        <v>45</v>
      </c>
      <c r="H11" t="n">
        <v>1</v>
      </c>
      <c r="I11" t="n">
        <v>107.3</v>
      </c>
      <c r="J11">
        <f>I11*0.97</f>
        <v/>
      </c>
      <c r="K11">
        <f>J11</f>
        <v/>
      </c>
      <c r="L11">
        <f>H11*J11</f>
        <v/>
      </c>
      <c r="M11">
        <f>K11*H11</f>
        <v/>
      </c>
    </row>
    <row r="12">
      <c r="A12">
        <f>A11</f>
        <v/>
      </c>
      <c r="B12">
        <f>LEFT(A12,4)</f>
        <v/>
      </c>
      <c r="C12" t="inlineStr">
        <is>
          <t>MONACO/TINN GTX</t>
        </is>
      </c>
      <c r="E12">
        <f>"8"&amp;RIGHT(A12,4)</f>
        <v/>
      </c>
      <c r="F12" t="n">
        <v>0</v>
      </c>
      <c r="G12" t="n">
        <v>46</v>
      </c>
      <c r="H12" t="n">
        <v>1</v>
      </c>
      <c r="I12" t="n">
        <v>107.3</v>
      </c>
      <c r="J12">
        <f>I12*0.97</f>
        <v/>
      </c>
      <c r="K12">
        <f>J12</f>
        <v/>
      </c>
      <c r="L12">
        <f>H12*J12</f>
        <v/>
      </c>
      <c r="M12">
        <f>K12*H12</f>
        <v/>
      </c>
    </row>
    <row r="13">
      <c r="A13" t="inlineStr">
        <is>
          <t>56002300</t>
        </is>
      </c>
      <c r="B13">
        <f>LEFT(A13,4)</f>
        <v/>
      </c>
      <c r="C13" t="inlineStr">
        <is>
          <t>MONACO/TINN GTX</t>
        </is>
      </c>
      <c r="E13">
        <f>"8"&amp;RIGHT(A13,4)</f>
        <v/>
      </c>
      <c r="F13" t="n">
        <v>0</v>
      </c>
      <c r="G13" t="n">
        <v>36</v>
      </c>
      <c r="H13" t="n">
        <v>2</v>
      </c>
      <c r="I13" t="n">
        <v>107.3</v>
      </c>
      <c r="J13">
        <f>I13*0.97</f>
        <v/>
      </c>
      <c r="K13">
        <f>J13</f>
        <v/>
      </c>
      <c r="L13">
        <f>H13*J13</f>
        <v/>
      </c>
      <c r="M13">
        <f>K13*H13</f>
        <v/>
      </c>
    </row>
    <row r="14">
      <c r="A14">
        <f>A13</f>
        <v/>
      </c>
      <c r="B14">
        <f>LEFT(A14,4)</f>
        <v/>
      </c>
      <c r="C14" t="inlineStr">
        <is>
          <t>MONACO/TINN GTX</t>
        </is>
      </c>
      <c r="E14">
        <f>"8"&amp;RIGHT(A14,4)</f>
        <v/>
      </c>
      <c r="F14" t="n">
        <v>0</v>
      </c>
      <c r="G14" t="n">
        <v>37</v>
      </c>
      <c r="H14" t="n">
        <v>30</v>
      </c>
      <c r="I14" t="n">
        <v>107.3</v>
      </c>
      <c r="J14">
        <f>I14*0.97</f>
        <v/>
      </c>
      <c r="K14">
        <f>J14</f>
        <v/>
      </c>
      <c r="L14">
        <f>H14*J14</f>
        <v/>
      </c>
      <c r="M14">
        <f>K14*H14</f>
        <v/>
      </c>
    </row>
    <row r="15">
      <c r="A15">
        <f>A14</f>
        <v/>
      </c>
      <c r="B15">
        <f>LEFT(A15,4)</f>
        <v/>
      </c>
      <c r="C15" t="inlineStr">
        <is>
          <t>MONACO/TINN GTX</t>
        </is>
      </c>
      <c r="E15">
        <f>"8"&amp;RIGHT(A15,4)</f>
        <v/>
      </c>
      <c r="F15" t="n">
        <v>0</v>
      </c>
      <c r="G15" t="n">
        <v>38</v>
      </c>
      <c r="H15" t="n">
        <v>33</v>
      </c>
      <c r="I15" t="n">
        <v>107.3</v>
      </c>
      <c r="J15">
        <f>I15*0.97</f>
        <v/>
      </c>
      <c r="K15">
        <f>J15</f>
        <v/>
      </c>
      <c r="L15">
        <f>H15*J15</f>
        <v/>
      </c>
      <c r="M15">
        <f>K15*H15</f>
        <v/>
      </c>
    </row>
    <row r="16">
      <c r="A16">
        <f>A15</f>
        <v/>
      </c>
      <c r="B16">
        <f>LEFT(A16,4)</f>
        <v/>
      </c>
      <c r="C16" t="inlineStr">
        <is>
          <t>MONACO/TINN GTX</t>
        </is>
      </c>
      <c r="E16">
        <f>"8"&amp;RIGHT(A16,4)</f>
        <v/>
      </c>
      <c r="F16" t="n">
        <v>0</v>
      </c>
      <c r="G16" t="n">
        <v>39</v>
      </c>
      <c r="H16" t="n">
        <v>28</v>
      </c>
      <c r="I16" t="n">
        <v>107.3</v>
      </c>
      <c r="J16">
        <f>I16*0.97</f>
        <v/>
      </c>
      <c r="K16">
        <f>J16</f>
        <v/>
      </c>
      <c r="L16">
        <f>H16*J16</f>
        <v/>
      </c>
      <c r="M16">
        <f>K16*H16</f>
        <v/>
      </c>
    </row>
    <row r="17">
      <c r="A17">
        <f>A16</f>
        <v/>
      </c>
      <c r="B17">
        <f>LEFT(A17,4)</f>
        <v/>
      </c>
      <c r="C17" t="inlineStr">
        <is>
          <t>MONACO/TINN GTX</t>
        </is>
      </c>
      <c r="E17">
        <f>"8"&amp;RIGHT(A17,4)</f>
        <v/>
      </c>
      <c r="F17" t="n">
        <v>0</v>
      </c>
      <c r="G17" t="n">
        <v>40</v>
      </c>
      <c r="H17" t="n">
        <v>15</v>
      </c>
      <c r="I17" t="n">
        <v>107.3</v>
      </c>
      <c r="J17">
        <f>I17*0.97</f>
        <v/>
      </c>
      <c r="K17">
        <f>J17</f>
        <v/>
      </c>
      <c r="L17">
        <f>H17*J17</f>
        <v/>
      </c>
      <c r="M17">
        <f>K17*H17</f>
        <v/>
      </c>
    </row>
    <row r="18">
      <c r="A18">
        <f>A17</f>
        <v/>
      </c>
      <c r="B18">
        <f>LEFT(A18,4)</f>
        <v/>
      </c>
      <c r="C18" t="inlineStr">
        <is>
          <t>MONACO/TINN GTX</t>
        </is>
      </c>
      <c r="E18">
        <f>"8"&amp;RIGHT(A18,4)</f>
        <v/>
      </c>
      <c r="F18" t="n">
        <v>0</v>
      </c>
      <c r="G18" t="n">
        <v>41</v>
      </c>
      <c r="H18" t="n">
        <v>36</v>
      </c>
      <c r="I18" t="n">
        <v>107.3</v>
      </c>
      <c r="J18">
        <f>I18*0.97</f>
        <v/>
      </c>
      <c r="K18">
        <f>J18</f>
        <v/>
      </c>
      <c r="L18">
        <f>H18*J18</f>
        <v/>
      </c>
      <c r="M18">
        <f>K18*H18</f>
        <v/>
      </c>
    </row>
    <row r="19">
      <c r="A19">
        <f>A18</f>
        <v/>
      </c>
      <c r="B19">
        <f>LEFT(A19,4)</f>
        <v/>
      </c>
      <c r="C19" t="inlineStr">
        <is>
          <t>MONACO/TINN GTX</t>
        </is>
      </c>
      <c r="E19">
        <f>"8"&amp;RIGHT(A19,4)</f>
        <v/>
      </c>
      <c r="F19" t="n">
        <v>0</v>
      </c>
      <c r="G19" t="n">
        <v>42</v>
      </c>
      <c r="H19" t="n">
        <v>56</v>
      </c>
      <c r="I19" t="n">
        <v>107.3</v>
      </c>
      <c r="J19">
        <f>I19*0.97</f>
        <v/>
      </c>
      <c r="K19">
        <f>J19</f>
        <v/>
      </c>
      <c r="L19">
        <f>H19*J19</f>
        <v/>
      </c>
      <c r="M19">
        <f>K19*H19</f>
        <v/>
      </c>
    </row>
    <row r="20">
      <c r="A20">
        <f>A19</f>
        <v/>
      </c>
      <c r="B20">
        <f>LEFT(A20,4)</f>
        <v/>
      </c>
      <c r="C20" t="inlineStr">
        <is>
          <t>MONACO/TINN GTX</t>
        </is>
      </c>
      <c r="E20">
        <f>"8"&amp;RIGHT(A20,4)</f>
        <v/>
      </c>
      <c r="F20" t="n">
        <v>0</v>
      </c>
      <c r="G20" t="n">
        <v>43</v>
      </c>
      <c r="H20" t="n">
        <v>1</v>
      </c>
      <c r="I20" t="n">
        <v>107.3</v>
      </c>
      <c r="J20">
        <f>I20*0.97</f>
        <v/>
      </c>
      <c r="K20">
        <f>J20</f>
        <v/>
      </c>
      <c r="L20">
        <f>H20*J20</f>
        <v/>
      </c>
      <c r="M20">
        <f>K20*H20</f>
        <v/>
      </c>
    </row>
    <row r="21">
      <c r="A21">
        <f>A20</f>
        <v/>
      </c>
      <c r="B21">
        <f>LEFT(A21,4)</f>
        <v/>
      </c>
      <c r="C21" t="inlineStr">
        <is>
          <t>MONACO/TINN GTX</t>
        </is>
      </c>
      <c r="E21">
        <f>"8"&amp;RIGHT(A21,4)</f>
        <v/>
      </c>
      <c r="F21" t="n">
        <v>0</v>
      </c>
      <c r="G21" t="n">
        <v>44</v>
      </c>
      <c r="H21" t="n">
        <v>3</v>
      </c>
      <c r="I21" t="n">
        <v>107.3</v>
      </c>
      <c r="J21">
        <f>I21*0.97</f>
        <v/>
      </c>
      <c r="K21">
        <f>J21</f>
        <v/>
      </c>
      <c r="L21">
        <f>H21*J21</f>
        <v/>
      </c>
      <c r="M21">
        <f>K21*H21</f>
        <v/>
      </c>
    </row>
    <row r="22">
      <c r="A22">
        <f>A21</f>
        <v/>
      </c>
      <c r="B22">
        <f>LEFT(A22,4)</f>
        <v/>
      </c>
      <c r="C22" t="inlineStr">
        <is>
          <t>MONACO/TINN GTX</t>
        </is>
      </c>
      <c r="E22">
        <f>"8"&amp;RIGHT(A22,4)</f>
        <v/>
      </c>
      <c r="F22" t="n">
        <v>0</v>
      </c>
      <c r="G22" t="n">
        <v>47</v>
      </c>
      <c r="H22" t="n">
        <v>1</v>
      </c>
      <c r="I22" t="n">
        <v>107.3</v>
      </c>
      <c r="J22">
        <f>I22*0.97</f>
        <v/>
      </c>
      <c r="K22">
        <f>J22</f>
        <v/>
      </c>
      <c r="L22">
        <f>H22*J22</f>
        <v/>
      </c>
      <c r="M22">
        <f>K22*H22</f>
        <v/>
      </c>
    </row>
    <row r="23">
      <c r="A23" t="inlineStr">
        <is>
          <t>56600106</t>
        </is>
      </c>
      <c r="B23">
        <f>LEFT(A23,4)</f>
        <v/>
      </c>
      <c r="C23" t="inlineStr">
        <is>
          <t>MONACO LOW GTX</t>
        </is>
      </c>
      <c r="E23">
        <f>"8"&amp;RIGHT(A23,4)</f>
        <v/>
      </c>
      <c r="F23" t="n">
        <v>0</v>
      </c>
      <c r="G23" t="n">
        <v>36</v>
      </c>
      <c r="H23" t="n">
        <v>1</v>
      </c>
      <c r="I23" t="n">
        <v>105.8</v>
      </c>
      <c r="J23">
        <f>I23*0.97</f>
        <v/>
      </c>
      <c r="K23">
        <f>J23</f>
        <v/>
      </c>
      <c r="L23">
        <f>H23*J23</f>
        <v/>
      </c>
      <c r="M23">
        <f>K23*H23</f>
        <v/>
      </c>
    </row>
    <row r="24">
      <c r="A24" t="inlineStr">
        <is>
          <t>17830100</t>
        </is>
      </c>
      <c r="B24">
        <f>LEFT(A24,4)</f>
        <v/>
      </c>
      <c r="C24" t="inlineStr">
        <is>
          <t>UNICA EFX LOW GTX</t>
        </is>
      </c>
      <c r="E24">
        <f>"8"&amp;RIGHT(A24,4)</f>
        <v/>
      </c>
      <c r="F24" t="n">
        <v>0</v>
      </c>
      <c r="G24" t="n">
        <v>35</v>
      </c>
      <c r="H24" t="n">
        <v>2</v>
      </c>
      <c r="I24" t="n">
        <v>96</v>
      </c>
      <c r="J24">
        <f>I24*0.97</f>
        <v/>
      </c>
      <c r="K24">
        <f>J24</f>
        <v/>
      </c>
      <c r="L24">
        <f>H24*J24</f>
        <v/>
      </c>
      <c r="M24">
        <f>K24*H24</f>
        <v/>
      </c>
    </row>
    <row r="25">
      <c r="A25">
        <f>A24</f>
        <v/>
      </c>
      <c r="B25">
        <f>LEFT(A25,4)</f>
        <v/>
      </c>
      <c r="C25" t="inlineStr">
        <is>
          <t>UNICA EFX LOW GTX</t>
        </is>
      </c>
      <c r="E25">
        <f>"8"&amp;RIGHT(A25,4)</f>
        <v/>
      </c>
      <c r="F25" t="n">
        <v>0</v>
      </c>
      <c r="G25" t="n">
        <v>36</v>
      </c>
      <c r="H25" t="n">
        <v>13</v>
      </c>
      <c r="I25" t="n">
        <v>96</v>
      </c>
      <c r="J25">
        <f>I25*0.97</f>
        <v/>
      </c>
      <c r="K25">
        <f>J25</f>
        <v/>
      </c>
      <c r="L25">
        <f>H25*J25</f>
        <v/>
      </c>
      <c r="M25">
        <f>K25*H25</f>
        <v/>
      </c>
    </row>
    <row r="26">
      <c r="A26">
        <f>A25</f>
        <v/>
      </c>
      <c r="B26">
        <f>LEFT(A26,4)</f>
        <v/>
      </c>
      <c r="C26" t="inlineStr">
        <is>
          <t>UNICA EFX LOW GTX</t>
        </is>
      </c>
      <c r="E26">
        <f>"8"&amp;RIGHT(A26,4)</f>
        <v/>
      </c>
      <c r="F26" t="n">
        <v>0</v>
      </c>
      <c r="G26" t="n">
        <v>37</v>
      </c>
      <c r="H26" t="n">
        <v>10</v>
      </c>
      <c r="I26" t="n">
        <v>96</v>
      </c>
      <c r="J26">
        <f>I26*0.97</f>
        <v/>
      </c>
      <c r="K26">
        <f>J26</f>
        <v/>
      </c>
      <c r="L26">
        <f>H26*J26</f>
        <v/>
      </c>
      <c r="M26">
        <f>K26*H26</f>
        <v/>
      </c>
    </row>
    <row r="27">
      <c r="A27">
        <f>A26</f>
        <v/>
      </c>
      <c r="B27">
        <f>LEFT(A27,4)</f>
        <v/>
      </c>
      <c r="C27" t="inlineStr">
        <is>
          <t>UNICA EFX LOW GTX</t>
        </is>
      </c>
      <c r="E27">
        <f>"8"&amp;RIGHT(A27,4)</f>
        <v/>
      </c>
      <c r="F27" t="n">
        <v>0</v>
      </c>
      <c r="G27" t="n">
        <v>38</v>
      </c>
      <c r="H27" t="n">
        <v>1</v>
      </c>
      <c r="I27" t="n">
        <v>96</v>
      </c>
      <c r="J27">
        <f>I27*0.97</f>
        <v/>
      </c>
      <c r="K27">
        <f>J27</f>
        <v/>
      </c>
      <c r="L27">
        <f>H27*J27</f>
        <v/>
      </c>
      <c r="M27">
        <f>K27*H27</f>
        <v/>
      </c>
    </row>
    <row r="28">
      <c r="A28">
        <f>A27</f>
        <v/>
      </c>
      <c r="B28">
        <f>LEFT(A28,4)</f>
        <v/>
      </c>
      <c r="C28" t="inlineStr">
        <is>
          <t>UNICA EFX LOW GTX</t>
        </is>
      </c>
      <c r="E28">
        <f>"8"&amp;RIGHT(A28,4)</f>
        <v/>
      </c>
      <c r="F28" t="n">
        <v>0</v>
      </c>
      <c r="G28" t="n">
        <v>39</v>
      </c>
      <c r="H28" t="n">
        <v>6</v>
      </c>
      <c r="I28" t="n">
        <v>96</v>
      </c>
      <c r="J28">
        <f>I28*0.97</f>
        <v/>
      </c>
      <c r="K28">
        <f>J28</f>
        <v/>
      </c>
      <c r="L28">
        <f>H28*J28</f>
        <v/>
      </c>
      <c r="M28">
        <f>K28*H28</f>
        <v/>
      </c>
    </row>
    <row r="29">
      <c r="A29">
        <f>A28</f>
        <v/>
      </c>
      <c r="B29">
        <f>LEFT(A29,4)</f>
        <v/>
      </c>
      <c r="C29" t="inlineStr">
        <is>
          <t>UNICA EFX LOW GTX</t>
        </is>
      </c>
      <c r="E29">
        <f>"8"&amp;RIGHT(A29,4)</f>
        <v/>
      </c>
      <c r="F29" t="n">
        <v>0</v>
      </c>
      <c r="G29" t="n">
        <v>40</v>
      </c>
      <c r="H29" t="n">
        <v>7</v>
      </c>
      <c r="I29" t="n">
        <v>96</v>
      </c>
      <c r="J29">
        <f>I29*0.97</f>
        <v/>
      </c>
      <c r="K29">
        <f>J29</f>
        <v/>
      </c>
      <c r="L29">
        <f>H29*J29</f>
        <v/>
      </c>
      <c r="M29">
        <f>K29*H29</f>
        <v/>
      </c>
    </row>
    <row r="30">
      <c r="A30">
        <f>A29</f>
        <v/>
      </c>
      <c r="B30">
        <f>LEFT(A30,4)</f>
        <v/>
      </c>
      <c r="C30" t="inlineStr">
        <is>
          <t>UNICA EFX LOW GTX</t>
        </is>
      </c>
      <c r="E30">
        <f>"8"&amp;RIGHT(A30,4)</f>
        <v/>
      </c>
      <c r="F30" t="n">
        <v>0</v>
      </c>
      <c r="G30" t="n">
        <v>41</v>
      </c>
      <c r="H30" t="n">
        <v>11</v>
      </c>
      <c r="I30" t="n">
        <v>96</v>
      </c>
      <c r="J30">
        <f>I30*0.97</f>
        <v/>
      </c>
      <c r="K30">
        <f>J30</f>
        <v/>
      </c>
      <c r="L30">
        <f>H30*J30</f>
        <v/>
      </c>
      <c r="M30">
        <f>K30*H30</f>
        <v/>
      </c>
    </row>
    <row r="31">
      <c r="A31">
        <f>A30</f>
        <v/>
      </c>
      <c r="B31">
        <f>LEFT(A31,4)</f>
        <v/>
      </c>
      <c r="C31" t="inlineStr">
        <is>
          <t>UNICA EFX LOW GTX</t>
        </is>
      </c>
      <c r="E31">
        <f>"8"&amp;RIGHT(A31,4)</f>
        <v/>
      </c>
      <c r="F31" t="n">
        <v>0</v>
      </c>
      <c r="G31" t="n">
        <v>42</v>
      </c>
      <c r="H31" t="n">
        <v>2</v>
      </c>
      <c r="I31" t="n">
        <v>96</v>
      </c>
      <c r="J31">
        <f>I31*0.97</f>
        <v/>
      </c>
      <c r="K31">
        <f>J31</f>
        <v/>
      </c>
      <c r="L31">
        <f>H31*J31</f>
        <v/>
      </c>
      <c r="M31">
        <f>K31*H31</f>
        <v/>
      </c>
    </row>
    <row r="32">
      <c r="A32">
        <f>A31</f>
        <v/>
      </c>
      <c r="B32">
        <f>LEFT(A32,4)</f>
        <v/>
      </c>
      <c r="C32" t="inlineStr">
        <is>
          <t>UNICA EFX LOW GTX</t>
        </is>
      </c>
      <c r="E32">
        <f>"8"&amp;RIGHT(A32,4)</f>
        <v/>
      </c>
      <c r="F32" t="n">
        <v>0</v>
      </c>
      <c r="G32" t="n">
        <v>43</v>
      </c>
      <c r="H32" t="n">
        <v>2</v>
      </c>
      <c r="I32" t="n">
        <v>96</v>
      </c>
      <c r="J32">
        <f>I32*0.97</f>
        <v/>
      </c>
      <c r="K32">
        <f>J32</f>
        <v/>
      </c>
      <c r="L32">
        <f>H32*J32</f>
        <v/>
      </c>
      <c r="M32">
        <f>K32*H32</f>
        <v/>
      </c>
    </row>
    <row r="33">
      <c r="A33">
        <f>A32</f>
        <v/>
      </c>
      <c r="B33">
        <f>LEFT(A33,4)</f>
        <v/>
      </c>
      <c r="C33" t="inlineStr">
        <is>
          <t>UNICA EFX LOW GTX</t>
        </is>
      </c>
      <c r="E33">
        <f>"8"&amp;RIGHT(A33,4)</f>
        <v/>
      </c>
      <c r="F33" t="n">
        <v>0</v>
      </c>
      <c r="G33" t="n">
        <v>44</v>
      </c>
      <c r="H33" t="n">
        <v>1</v>
      </c>
      <c r="I33" t="n">
        <v>96</v>
      </c>
      <c r="J33">
        <f>I33*0.97</f>
        <v/>
      </c>
      <c r="K33">
        <f>J33</f>
        <v/>
      </c>
      <c r="L33">
        <f>H33*J33</f>
        <v/>
      </c>
      <c r="M33">
        <f>K33*H33</f>
        <v/>
      </c>
    </row>
    <row r="34">
      <c r="A34" t="inlineStr">
        <is>
          <t>17832460</t>
        </is>
      </c>
      <c r="B34">
        <f>LEFT(A34,4)</f>
        <v/>
      </c>
      <c r="C34" t="inlineStr">
        <is>
          <t>UNICA EFX LOW GTX</t>
        </is>
      </c>
      <c r="E34">
        <f>"8"&amp;RIGHT(A34,4)</f>
        <v/>
      </c>
      <c r="F34" t="n">
        <v>0</v>
      </c>
      <c r="G34" t="n">
        <v>39</v>
      </c>
      <c r="H34" t="n">
        <v>2</v>
      </c>
      <c r="I34" t="n">
        <v>96</v>
      </c>
      <c r="J34">
        <f>I34*0.97</f>
        <v/>
      </c>
      <c r="K34">
        <f>J34</f>
        <v/>
      </c>
      <c r="L34">
        <f>H34*J34</f>
        <v/>
      </c>
      <c r="M34">
        <f>K34*H34</f>
        <v/>
      </c>
    </row>
    <row r="35">
      <c r="A35">
        <f>A34</f>
        <v/>
      </c>
      <c r="B35">
        <f>LEFT(A35,4)</f>
        <v/>
      </c>
      <c r="C35" t="inlineStr">
        <is>
          <t>UNICA EFX LOW GTX</t>
        </is>
      </c>
      <c r="E35">
        <f>"8"&amp;RIGHT(A35,4)</f>
        <v/>
      </c>
      <c r="F35" t="n">
        <v>0</v>
      </c>
      <c r="G35" t="n">
        <v>40</v>
      </c>
      <c r="H35" t="n">
        <v>5</v>
      </c>
      <c r="I35" t="n">
        <v>96</v>
      </c>
      <c r="J35">
        <f>I35*0.97</f>
        <v/>
      </c>
      <c r="K35">
        <f>J35</f>
        <v/>
      </c>
      <c r="L35">
        <f>H35*J35</f>
        <v/>
      </c>
      <c r="M35">
        <f>K35*H35</f>
        <v/>
      </c>
    </row>
    <row r="36">
      <c r="A36">
        <f>A35</f>
        <v/>
      </c>
      <c r="B36">
        <f>LEFT(A36,4)</f>
        <v/>
      </c>
      <c r="C36" t="inlineStr">
        <is>
          <t>UNICA EFX LOW GTX</t>
        </is>
      </c>
      <c r="E36">
        <f>"8"&amp;RIGHT(A36,4)</f>
        <v/>
      </c>
      <c r="F36" t="n">
        <v>0</v>
      </c>
      <c r="G36" t="n">
        <v>41</v>
      </c>
      <c r="H36" t="n">
        <v>11</v>
      </c>
      <c r="I36" t="n">
        <v>96</v>
      </c>
      <c r="J36">
        <f>I36*0.97</f>
        <v/>
      </c>
      <c r="K36">
        <f>J36</f>
        <v/>
      </c>
      <c r="L36">
        <f>H36*J36</f>
        <v/>
      </c>
      <c r="M36">
        <f>K36*H36</f>
        <v/>
      </c>
    </row>
    <row r="37">
      <c r="A37">
        <f>A36</f>
        <v/>
      </c>
      <c r="B37">
        <f>LEFT(A37,4)</f>
        <v/>
      </c>
      <c r="C37" t="inlineStr">
        <is>
          <t>UNICA EFX LOW GTX</t>
        </is>
      </c>
      <c r="E37">
        <f>"8"&amp;RIGHT(A37,4)</f>
        <v/>
      </c>
      <c r="F37" t="n">
        <v>0</v>
      </c>
      <c r="G37" t="n">
        <v>42</v>
      </c>
      <c r="H37" t="n">
        <v>9</v>
      </c>
      <c r="I37" t="n">
        <v>96</v>
      </c>
      <c r="J37">
        <f>I37*0.97</f>
        <v/>
      </c>
      <c r="K37">
        <f>J37</f>
        <v/>
      </c>
      <c r="L37">
        <f>H37*J37</f>
        <v/>
      </c>
      <c r="M37">
        <f>K37*H37</f>
        <v/>
      </c>
    </row>
    <row r="38">
      <c r="A38">
        <f>A37</f>
        <v/>
      </c>
      <c r="B38">
        <f>LEFT(A38,4)</f>
        <v/>
      </c>
      <c r="C38" t="inlineStr">
        <is>
          <t>UNICA EFX LOW GTX</t>
        </is>
      </c>
      <c r="E38">
        <f>"8"&amp;RIGHT(A38,4)</f>
        <v/>
      </c>
      <c r="F38" t="n">
        <v>0</v>
      </c>
      <c r="G38" t="n">
        <v>43</v>
      </c>
      <c r="H38" t="n">
        <v>8</v>
      </c>
      <c r="I38" t="n">
        <v>96</v>
      </c>
      <c r="J38">
        <f>I38*0.97</f>
        <v/>
      </c>
      <c r="K38">
        <f>J38</f>
        <v/>
      </c>
      <c r="L38">
        <f>H38*J38</f>
        <v/>
      </c>
      <c r="M38">
        <f>K38*H38</f>
        <v/>
      </c>
    </row>
    <row r="39">
      <c r="A39">
        <f>A38</f>
        <v/>
      </c>
      <c r="B39">
        <f>LEFT(A39,4)</f>
        <v/>
      </c>
      <c r="C39" t="inlineStr">
        <is>
          <t>UNICA EFX LOW GTX</t>
        </is>
      </c>
      <c r="E39">
        <f>"8"&amp;RIGHT(A39,4)</f>
        <v/>
      </c>
      <c r="F39" t="n">
        <v>0</v>
      </c>
      <c r="G39" t="n">
        <v>44</v>
      </c>
      <c r="H39" t="n">
        <v>7</v>
      </c>
      <c r="I39" t="n">
        <v>96</v>
      </c>
      <c r="J39">
        <f>I39*0.97</f>
        <v/>
      </c>
      <c r="K39">
        <f>J39</f>
        <v/>
      </c>
      <c r="L39">
        <f>H39*J39</f>
        <v/>
      </c>
      <c r="M39">
        <f>K39*H39</f>
        <v/>
      </c>
    </row>
    <row r="40">
      <c r="A40">
        <f>A39</f>
        <v/>
      </c>
      <c r="B40">
        <f>LEFT(A40,4)</f>
        <v/>
      </c>
      <c r="C40" t="inlineStr">
        <is>
          <t>UNICA EFX LOW GTX</t>
        </is>
      </c>
      <c r="E40">
        <f>"8"&amp;RIGHT(A40,4)</f>
        <v/>
      </c>
      <c r="F40" t="n">
        <v>0</v>
      </c>
      <c r="G40" t="n">
        <v>45</v>
      </c>
      <c r="H40" t="n">
        <v>1</v>
      </c>
      <c r="I40" t="n">
        <v>96</v>
      </c>
      <c r="J40">
        <f>I40*0.97</f>
        <v/>
      </c>
      <c r="K40">
        <f>J40</f>
        <v/>
      </c>
      <c r="L40">
        <f>H40*J40</f>
        <v/>
      </c>
      <c r="M40">
        <f>K40*H40</f>
        <v/>
      </c>
    </row>
    <row r="41">
      <c r="A41" t="inlineStr">
        <is>
          <t>56002300</t>
        </is>
      </c>
      <c r="B41">
        <f>LEFT(A41,4)</f>
        <v/>
      </c>
      <c r="C41" t="inlineStr">
        <is>
          <t>MONACO/TINN GTX</t>
        </is>
      </c>
      <c r="E41">
        <f>"8"&amp;RIGHT(A41,4)</f>
        <v/>
      </c>
      <c r="F41" t="n">
        <v>0</v>
      </c>
      <c r="G41" t="n">
        <v>37</v>
      </c>
      <c r="H41" t="n">
        <v>1</v>
      </c>
      <c r="I41" t="n">
        <v>107.3</v>
      </c>
      <c r="J41">
        <f>I41*0.97</f>
        <v/>
      </c>
      <c r="K41">
        <f>J41</f>
        <v/>
      </c>
      <c r="L41">
        <f>H41*J41</f>
        <v/>
      </c>
      <c r="M41">
        <f>K41*H41</f>
        <v/>
      </c>
    </row>
    <row r="42">
      <c r="A42">
        <f>A41</f>
        <v/>
      </c>
      <c r="B42">
        <f>LEFT(A42,4)</f>
        <v/>
      </c>
      <c r="C42" t="inlineStr">
        <is>
          <t>MONACO/TINN GTX</t>
        </is>
      </c>
      <c r="E42">
        <f>"8"&amp;RIGHT(A42,4)</f>
        <v/>
      </c>
      <c r="F42" t="n">
        <v>0</v>
      </c>
      <c r="G42" t="n">
        <v>40</v>
      </c>
      <c r="H42" t="n">
        <v>1</v>
      </c>
      <c r="I42" t="n">
        <v>107.3</v>
      </c>
      <c r="J42">
        <f>I42*0.97</f>
        <v/>
      </c>
      <c r="K42">
        <f>J42</f>
        <v/>
      </c>
      <c r="L42">
        <f>H42*J42</f>
        <v/>
      </c>
      <c r="M42">
        <f>K42*H42</f>
        <v/>
      </c>
    </row>
    <row r="43">
      <c r="A43">
        <f>A42</f>
        <v/>
      </c>
      <c r="B43">
        <f>LEFT(A43,4)</f>
        <v/>
      </c>
      <c r="C43" t="inlineStr">
        <is>
          <t>MONACO/TINN GTX</t>
        </is>
      </c>
      <c r="E43">
        <f>"8"&amp;RIGHT(A43,4)</f>
        <v/>
      </c>
      <c r="F43" t="n">
        <v>0</v>
      </c>
      <c r="G43" t="n">
        <v>41</v>
      </c>
      <c r="H43" t="n">
        <v>15</v>
      </c>
      <c r="I43" t="n">
        <v>107.3</v>
      </c>
      <c r="J43">
        <f>I43*0.97</f>
        <v/>
      </c>
      <c r="K43">
        <f>J43</f>
        <v/>
      </c>
      <c r="L43">
        <f>H43*J43</f>
        <v/>
      </c>
      <c r="M43">
        <f>K43*H43</f>
        <v/>
      </c>
    </row>
    <row r="44">
      <c r="A44">
        <f>A43</f>
        <v/>
      </c>
      <c r="B44">
        <f>LEFT(A44,4)</f>
        <v/>
      </c>
      <c r="C44" t="inlineStr">
        <is>
          <t>MONACO/TINN GTX</t>
        </is>
      </c>
      <c r="E44">
        <f>"8"&amp;RIGHT(A44,4)</f>
        <v/>
      </c>
      <c r="F44" t="n">
        <v>0</v>
      </c>
      <c r="G44" t="n">
        <v>42</v>
      </c>
      <c r="H44" t="n">
        <v>74</v>
      </c>
      <c r="I44" t="n">
        <v>107.3</v>
      </c>
      <c r="J44">
        <f>I44*0.97</f>
        <v/>
      </c>
      <c r="K44">
        <f>J44</f>
        <v/>
      </c>
      <c r="L44">
        <f>H44*J44</f>
        <v/>
      </c>
      <c r="M44">
        <f>K44*H44</f>
        <v/>
      </c>
    </row>
    <row r="45">
      <c r="A45">
        <f>A44</f>
        <v/>
      </c>
      <c r="B45">
        <f>LEFT(A45,4)</f>
        <v/>
      </c>
      <c r="C45" t="inlineStr">
        <is>
          <t>MONACO/TINN GTX</t>
        </is>
      </c>
      <c r="E45">
        <f>"8"&amp;RIGHT(A45,4)</f>
        <v/>
      </c>
      <c r="F45" t="n">
        <v>0</v>
      </c>
      <c r="G45" t="n">
        <v>43</v>
      </c>
      <c r="H45" t="n">
        <v>6</v>
      </c>
      <c r="I45" t="n">
        <v>107.3</v>
      </c>
      <c r="J45">
        <f>I45*0.97</f>
        <v/>
      </c>
      <c r="K45">
        <f>J45</f>
        <v/>
      </c>
      <c r="L45">
        <f>H45*J45</f>
        <v/>
      </c>
      <c r="M45">
        <f>K45*H45</f>
        <v/>
      </c>
    </row>
    <row r="46">
      <c r="A46">
        <f>A45</f>
        <v/>
      </c>
      <c r="B46">
        <f>LEFT(A46,4)</f>
        <v/>
      </c>
      <c r="C46" t="inlineStr">
        <is>
          <t>MONACO/TINN GTX</t>
        </is>
      </c>
      <c r="E46">
        <f>"8"&amp;RIGHT(A46,4)</f>
        <v/>
      </c>
      <c r="F46" t="n">
        <v>0</v>
      </c>
      <c r="G46" t="n">
        <v>44</v>
      </c>
      <c r="H46" t="n">
        <v>2</v>
      </c>
      <c r="I46" t="n">
        <v>107.3</v>
      </c>
      <c r="J46">
        <f>I46*0.97</f>
        <v/>
      </c>
      <c r="K46">
        <f>J46</f>
        <v/>
      </c>
      <c r="L46">
        <f>H46*J46</f>
        <v/>
      </c>
      <c r="M46">
        <f>K46*H46</f>
        <v/>
      </c>
    </row>
    <row r="47">
      <c r="A47">
        <f>A46</f>
        <v/>
      </c>
      <c r="B47">
        <f>LEFT(A47,4)</f>
        <v/>
      </c>
      <c r="C47" t="inlineStr">
        <is>
          <t>MONACO/TINN GTX</t>
        </is>
      </c>
      <c r="E47">
        <f>"8"&amp;RIGHT(A47,4)</f>
        <v/>
      </c>
      <c r="F47" t="n">
        <v>0</v>
      </c>
      <c r="G47" t="n">
        <v>37</v>
      </c>
      <c r="H47" t="n">
        <v>1</v>
      </c>
      <c r="I47" t="n">
        <v>107.3</v>
      </c>
      <c r="J47">
        <f>I47*0.97</f>
        <v/>
      </c>
      <c r="K47">
        <f>J47</f>
        <v/>
      </c>
      <c r="L47">
        <f>H47*J47</f>
        <v/>
      </c>
      <c r="M47">
        <f>K47*H47</f>
        <v/>
      </c>
    </row>
    <row r="48">
      <c r="A48">
        <f>A47</f>
        <v/>
      </c>
      <c r="B48">
        <f>LEFT(A48,4)</f>
        <v/>
      </c>
      <c r="C48" t="inlineStr">
        <is>
          <t>MONACO/TINN GTX</t>
        </is>
      </c>
      <c r="E48">
        <f>"8"&amp;RIGHT(A48,4)</f>
        <v/>
      </c>
      <c r="F48" t="n">
        <v>0</v>
      </c>
      <c r="G48" t="n">
        <v>38</v>
      </c>
      <c r="H48" t="n">
        <v>2</v>
      </c>
      <c r="I48" t="n">
        <v>107.3</v>
      </c>
      <c r="J48">
        <f>I48*0.97</f>
        <v/>
      </c>
      <c r="K48">
        <f>J48</f>
        <v/>
      </c>
      <c r="L48">
        <f>H48*J48</f>
        <v/>
      </c>
      <c r="M48">
        <f>K48*H48</f>
        <v/>
      </c>
    </row>
    <row r="49">
      <c r="A49">
        <f>A48</f>
        <v/>
      </c>
      <c r="B49">
        <f>LEFT(A49,4)</f>
        <v/>
      </c>
      <c r="C49" t="inlineStr">
        <is>
          <t>MONACO/TINN GTX</t>
        </is>
      </c>
      <c r="E49">
        <f>"8"&amp;RIGHT(A49,4)</f>
        <v/>
      </c>
      <c r="F49" t="n">
        <v>0</v>
      </c>
      <c r="G49" t="n">
        <v>39</v>
      </c>
      <c r="H49" t="n">
        <v>1</v>
      </c>
      <c r="I49" t="n">
        <v>107.3</v>
      </c>
      <c r="J49">
        <f>I49*0.97</f>
        <v/>
      </c>
      <c r="K49">
        <f>J49</f>
        <v/>
      </c>
      <c r="L49">
        <f>H49*J49</f>
        <v/>
      </c>
      <c r="M49">
        <f>K49*H49</f>
        <v/>
      </c>
    </row>
    <row r="50">
      <c r="A50">
        <f>A49</f>
        <v/>
      </c>
      <c r="B50">
        <f>LEFT(A50,4)</f>
        <v/>
      </c>
      <c r="C50" t="inlineStr">
        <is>
          <t>MONACO/TINN GTX</t>
        </is>
      </c>
      <c r="E50">
        <f>"8"&amp;RIGHT(A50,4)</f>
        <v/>
      </c>
      <c r="F50" t="n">
        <v>0</v>
      </c>
      <c r="G50" t="n">
        <v>40</v>
      </c>
      <c r="H50" t="n">
        <v>1</v>
      </c>
      <c r="I50" t="n">
        <v>107.3</v>
      </c>
      <c r="J50">
        <f>I50*0.97</f>
        <v/>
      </c>
      <c r="K50">
        <f>J50</f>
        <v/>
      </c>
      <c r="L50">
        <f>H50*J50</f>
        <v/>
      </c>
      <c r="M50">
        <f>K50*H50</f>
        <v/>
      </c>
    </row>
    <row r="51">
      <c r="A51">
        <f>A50</f>
        <v/>
      </c>
      <c r="B51">
        <f>LEFT(A51,4)</f>
        <v/>
      </c>
      <c r="C51" t="inlineStr">
        <is>
          <t>MONACO/TINN GTX</t>
        </is>
      </c>
      <c r="E51">
        <f>"8"&amp;RIGHT(A51,4)</f>
        <v/>
      </c>
      <c r="F51" t="n">
        <v>0</v>
      </c>
      <c r="G51" t="n">
        <v>41</v>
      </c>
      <c r="H51" t="n">
        <v>1</v>
      </c>
      <c r="I51" t="n">
        <v>107.3</v>
      </c>
      <c r="J51">
        <f>I51*0.97</f>
        <v/>
      </c>
      <c r="K51">
        <f>J51</f>
        <v/>
      </c>
      <c r="L51">
        <f>H51*J51</f>
        <v/>
      </c>
      <c r="M51">
        <f>K51*H51</f>
        <v/>
      </c>
    </row>
    <row r="52">
      <c r="A52">
        <f>A51</f>
        <v/>
      </c>
      <c r="B52">
        <f>LEFT(A52,4)</f>
        <v/>
      </c>
      <c r="C52" t="inlineStr">
        <is>
          <t>MONACO/TINN GTX</t>
        </is>
      </c>
      <c r="E52">
        <f>"8"&amp;RIGHT(A52,4)</f>
        <v/>
      </c>
      <c r="F52" t="n">
        <v>0</v>
      </c>
      <c r="G52" t="n">
        <v>42</v>
      </c>
      <c r="H52" t="n">
        <v>1</v>
      </c>
      <c r="I52" t="n">
        <v>107.3</v>
      </c>
      <c r="J52">
        <f>I52*0.97</f>
        <v/>
      </c>
      <c r="K52">
        <f>J52</f>
        <v/>
      </c>
      <c r="L52">
        <f>H52*J52</f>
        <v/>
      </c>
      <c r="M52">
        <f>K52*H52</f>
        <v/>
      </c>
    </row>
    <row r="53">
      <c r="A53" t="inlineStr">
        <is>
          <t>62306999</t>
        </is>
      </c>
      <c r="B53">
        <f>LEFT(A53,4)</f>
        <v/>
      </c>
      <c r="C53" t="inlineStr">
        <is>
          <t>PERFETTA GTX</t>
        </is>
      </c>
      <c r="E53">
        <f>"8"&amp;RIGHT(A53,4)</f>
        <v/>
      </c>
      <c r="F53" t="n">
        <v>0</v>
      </c>
      <c r="G53" t="n">
        <v>38</v>
      </c>
      <c r="H53" t="n">
        <v>1</v>
      </c>
      <c r="I53" t="n">
        <v>109.5</v>
      </c>
      <c r="J53">
        <f>I53*0.97</f>
        <v/>
      </c>
      <c r="K53">
        <f>J53</f>
        <v/>
      </c>
      <c r="L53">
        <f>H53*J53</f>
        <v/>
      </c>
      <c r="M53">
        <f>K53*H53</f>
        <v/>
      </c>
    </row>
    <row r="54">
      <c r="A54" t="inlineStr">
        <is>
          <t>17830100</t>
        </is>
      </c>
      <c r="B54">
        <f>LEFT(A54,4)</f>
        <v/>
      </c>
      <c r="C54" t="inlineStr">
        <is>
          <t>UNICA EFX LOW GTX</t>
        </is>
      </c>
      <c r="E54">
        <f>"8"&amp;RIGHT(A54,4)</f>
        <v/>
      </c>
      <c r="F54" t="n">
        <v>0</v>
      </c>
      <c r="G54" t="n">
        <v>41</v>
      </c>
      <c r="H54" t="n">
        <v>1</v>
      </c>
      <c r="I54" t="n">
        <v>96</v>
      </c>
      <c r="J54">
        <f>I54*0.97</f>
        <v/>
      </c>
      <c r="K54">
        <f>J54</f>
        <v/>
      </c>
      <c r="L54">
        <f>H54*J54</f>
        <v/>
      </c>
      <c r="M54">
        <f>K54*H54</f>
        <v/>
      </c>
    </row>
    <row r="55">
      <c r="A55" t="inlineStr">
        <is>
          <t>56603299</t>
        </is>
      </c>
      <c r="B55">
        <f>LEFT(A55,4)</f>
        <v/>
      </c>
      <c r="C55" t="inlineStr">
        <is>
          <t>MONACO LOW GTX</t>
        </is>
      </c>
      <c r="E55">
        <f>"8"&amp;RIGHT(A55,4)</f>
        <v/>
      </c>
      <c r="F55" t="n">
        <v>0</v>
      </c>
      <c r="G55" t="n">
        <v>39</v>
      </c>
      <c r="H55" t="n">
        <v>25</v>
      </c>
      <c r="I55" t="n">
        <v>105.8</v>
      </c>
      <c r="J55">
        <f>I55*0.97</f>
        <v/>
      </c>
      <c r="K55">
        <f>J55</f>
        <v/>
      </c>
      <c r="L55">
        <f>H55*J55</f>
        <v/>
      </c>
      <c r="M55">
        <f>K55*H55</f>
        <v/>
      </c>
    </row>
    <row r="56">
      <c r="A56">
        <f>A55</f>
        <v/>
      </c>
      <c r="B56">
        <f>LEFT(A56,4)</f>
        <v/>
      </c>
      <c r="C56" t="inlineStr">
        <is>
          <t>MONACO LOW GTX</t>
        </is>
      </c>
      <c r="E56">
        <f>"8"&amp;RIGHT(A56,4)</f>
        <v/>
      </c>
      <c r="F56" t="n">
        <v>0</v>
      </c>
      <c r="G56" t="n">
        <v>40</v>
      </c>
      <c r="H56" t="n">
        <v>45</v>
      </c>
      <c r="I56" t="n">
        <v>105.8</v>
      </c>
      <c r="J56">
        <f>I56*0.97</f>
        <v/>
      </c>
      <c r="K56">
        <f>J56</f>
        <v/>
      </c>
      <c r="L56">
        <f>H56*J56</f>
        <v/>
      </c>
      <c r="M56">
        <f>K56*H56</f>
        <v/>
      </c>
    </row>
    <row r="57">
      <c r="A57">
        <f>A56</f>
        <v/>
      </c>
      <c r="B57">
        <f>LEFT(A57,4)</f>
        <v/>
      </c>
      <c r="C57" t="inlineStr">
        <is>
          <t>MONACO LOW GTX</t>
        </is>
      </c>
      <c r="E57">
        <f>"8"&amp;RIGHT(A57,4)</f>
        <v/>
      </c>
      <c r="F57" t="n">
        <v>0</v>
      </c>
      <c r="G57" t="n">
        <v>41</v>
      </c>
      <c r="H57" t="n">
        <v>2</v>
      </c>
      <c r="I57" t="n">
        <v>105.8</v>
      </c>
      <c r="J57">
        <f>I57*0.97</f>
        <v/>
      </c>
      <c r="K57">
        <f>J57</f>
        <v/>
      </c>
      <c r="L57">
        <f>H57*J57</f>
        <v/>
      </c>
      <c r="M57">
        <f>K57*H57</f>
        <v/>
      </c>
    </row>
    <row r="58">
      <c r="A58">
        <f>A57</f>
        <v/>
      </c>
      <c r="B58">
        <f>LEFT(A58,4)</f>
        <v/>
      </c>
      <c r="C58" t="inlineStr">
        <is>
          <t>MONACO LOW GTX</t>
        </is>
      </c>
      <c r="E58">
        <f>"8"&amp;RIGHT(A58,4)</f>
        <v/>
      </c>
      <c r="F58" t="n">
        <v>0</v>
      </c>
      <c r="G58" t="n">
        <v>37</v>
      </c>
      <c r="H58" t="n">
        <v>5</v>
      </c>
      <c r="I58" t="n">
        <v>105.8</v>
      </c>
      <c r="J58">
        <f>I58*0.97</f>
        <v/>
      </c>
      <c r="K58">
        <f>J58</f>
        <v/>
      </c>
      <c r="L58">
        <f>H58*J58</f>
        <v/>
      </c>
      <c r="M58">
        <f>K58*H58</f>
        <v/>
      </c>
    </row>
    <row r="59">
      <c r="A59">
        <f>A58</f>
        <v/>
      </c>
      <c r="B59">
        <f>LEFT(A59,4)</f>
        <v/>
      </c>
      <c r="C59" t="inlineStr">
        <is>
          <t>MONACO LOW GTX</t>
        </is>
      </c>
      <c r="E59">
        <f>"8"&amp;RIGHT(A59,4)</f>
        <v/>
      </c>
      <c r="F59" t="n">
        <v>0</v>
      </c>
      <c r="G59" t="n">
        <v>38</v>
      </c>
      <c r="H59" t="n">
        <v>23</v>
      </c>
      <c r="I59" t="n">
        <v>105.8</v>
      </c>
      <c r="J59">
        <f>I59*0.97</f>
        <v/>
      </c>
      <c r="K59">
        <f>J59</f>
        <v/>
      </c>
      <c r="L59">
        <f>H59*J59</f>
        <v/>
      </c>
      <c r="M59">
        <f>K59*H59</f>
        <v/>
      </c>
    </row>
    <row r="60">
      <c r="A60">
        <f>A59</f>
        <v/>
      </c>
      <c r="B60">
        <f>LEFT(A60,4)</f>
        <v/>
      </c>
      <c r="C60" t="inlineStr">
        <is>
          <t>MONACO LOW GTX</t>
        </is>
      </c>
      <c r="E60">
        <f>"8"&amp;RIGHT(A60,4)</f>
        <v/>
      </c>
      <c r="F60" t="n">
        <v>0</v>
      </c>
      <c r="G60" t="n">
        <v>39</v>
      </c>
      <c r="H60" t="n">
        <v>15</v>
      </c>
      <c r="I60" t="n">
        <v>105.8</v>
      </c>
      <c r="J60">
        <f>I60*0.97</f>
        <v/>
      </c>
      <c r="K60">
        <f>J60</f>
        <v/>
      </c>
      <c r="L60">
        <f>H60*J60</f>
        <v/>
      </c>
      <c r="M60">
        <f>K60*H60</f>
        <v/>
      </c>
    </row>
    <row r="61">
      <c r="A61">
        <f>A60</f>
        <v/>
      </c>
      <c r="B61">
        <f>LEFT(A61,4)</f>
        <v/>
      </c>
      <c r="C61" t="inlineStr">
        <is>
          <t>MONACO LOW GTX</t>
        </is>
      </c>
      <c r="E61">
        <f>"8"&amp;RIGHT(A61,4)</f>
        <v/>
      </c>
      <c r="F61" t="n">
        <v>0</v>
      </c>
      <c r="G61" t="n">
        <v>40</v>
      </c>
      <c r="H61" t="n">
        <v>12</v>
      </c>
      <c r="I61" t="n">
        <v>105.8</v>
      </c>
      <c r="J61">
        <f>I61*0.97</f>
        <v/>
      </c>
      <c r="K61">
        <f>J61</f>
        <v/>
      </c>
      <c r="L61">
        <f>H61*J61</f>
        <v/>
      </c>
      <c r="M61">
        <f>K61*H61</f>
        <v/>
      </c>
    </row>
    <row r="62">
      <c r="A62">
        <f>A61</f>
        <v/>
      </c>
      <c r="B62">
        <f>LEFT(A62,4)</f>
        <v/>
      </c>
      <c r="C62" t="inlineStr">
        <is>
          <t>MONACO LOW GTX</t>
        </is>
      </c>
      <c r="E62">
        <f>"8"&amp;RIGHT(A62,4)</f>
        <v/>
      </c>
      <c r="F62" t="n">
        <v>0</v>
      </c>
      <c r="G62" t="n">
        <v>41</v>
      </c>
      <c r="H62" t="n">
        <v>33</v>
      </c>
      <c r="I62" t="n">
        <v>105.8</v>
      </c>
      <c r="J62">
        <f>I62*0.97</f>
        <v/>
      </c>
      <c r="K62">
        <f>J62</f>
        <v/>
      </c>
      <c r="L62">
        <f>H62*J62</f>
        <v/>
      </c>
      <c r="M62">
        <f>K62*H62</f>
        <v/>
      </c>
    </row>
    <row r="63">
      <c r="A63">
        <f>A62</f>
        <v/>
      </c>
      <c r="B63">
        <f>LEFT(A63,4)</f>
        <v/>
      </c>
      <c r="C63" t="inlineStr">
        <is>
          <t>MONACO LOW GTX</t>
        </is>
      </c>
      <c r="E63">
        <f>"8"&amp;RIGHT(A63,4)</f>
        <v/>
      </c>
      <c r="F63" t="n">
        <v>0</v>
      </c>
      <c r="G63" t="n">
        <v>42</v>
      </c>
      <c r="H63" t="n">
        <v>22</v>
      </c>
      <c r="I63" t="n">
        <v>105.8</v>
      </c>
      <c r="J63">
        <f>I63*0.97</f>
        <v/>
      </c>
      <c r="K63">
        <f>J63</f>
        <v/>
      </c>
      <c r="L63">
        <f>H63*J63</f>
        <v/>
      </c>
      <c r="M63">
        <f>K63*H63</f>
        <v/>
      </c>
    </row>
    <row r="64">
      <c r="A64">
        <f>A63</f>
        <v/>
      </c>
      <c r="B64">
        <f>LEFT(A64,4)</f>
        <v/>
      </c>
      <c r="C64" t="inlineStr">
        <is>
          <t>MONACO LOW GTX</t>
        </is>
      </c>
      <c r="E64">
        <f>"8"&amp;RIGHT(A64,4)</f>
        <v/>
      </c>
      <c r="F64" t="n">
        <v>0</v>
      </c>
      <c r="G64" t="n">
        <v>37</v>
      </c>
      <c r="H64" t="n">
        <v>3</v>
      </c>
      <c r="I64" t="n">
        <v>105.8</v>
      </c>
      <c r="J64">
        <f>I64*0.97</f>
        <v/>
      </c>
      <c r="K64">
        <f>J64</f>
        <v/>
      </c>
      <c r="L64">
        <f>H64*J64</f>
        <v/>
      </c>
      <c r="M64">
        <f>K64*H64</f>
        <v/>
      </c>
    </row>
    <row r="65">
      <c r="A65">
        <f>A64</f>
        <v/>
      </c>
      <c r="B65">
        <f>LEFT(A65,4)</f>
        <v/>
      </c>
      <c r="C65" t="inlineStr">
        <is>
          <t>MONACO LOW GTX</t>
        </is>
      </c>
      <c r="E65">
        <f>"8"&amp;RIGHT(A65,4)</f>
        <v/>
      </c>
      <c r="F65" t="n">
        <v>0</v>
      </c>
      <c r="G65" t="n">
        <v>40</v>
      </c>
      <c r="H65" t="n">
        <v>27</v>
      </c>
      <c r="I65" t="n">
        <v>105.8</v>
      </c>
      <c r="J65">
        <f>I65*0.97</f>
        <v/>
      </c>
      <c r="K65">
        <f>J65</f>
        <v/>
      </c>
      <c r="L65">
        <f>H65*J65</f>
        <v/>
      </c>
      <c r="M65">
        <f>K65*H65</f>
        <v/>
      </c>
    </row>
    <row r="66">
      <c r="A66">
        <f>A65</f>
        <v/>
      </c>
      <c r="B66">
        <f>LEFT(A66,4)</f>
        <v/>
      </c>
      <c r="C66" t="inlineStr">
        <is>
          <t>MONACO LOW GTX</t>
        </is>
      </c>
      <c r="E66">
        <f>"8"&amp;RIGHT(A66,4)</f>
        <v/>
      </c>
      <c r="F66" t="n">
        <v>0</v>
      </c>
      <c r="G66" t="n">
        <v>41</v>
      </c>
      <c r="H66" t="n">
        <v>72</v>
      </c>
      <c r="I66" t="n">
        <v>105.8</v>
      </c>
      <c r="J66">
        <f>I66*0.97</f>
        <v/>
      </c>
      <c r="K66">
        <f>J66</f>
        <v/>
      </c>
      <c r="L66">
        <f>H66*J66</f>
        <v/>
      </c>
      <c r="M66">
        <f>K66*H66</f>
        <v/>
      </c>
    </row>
    <row r="67">
      <c r="A67">
        <f>A66</f>
        <v/>
      </c>
      <c r="B67">
        <f>LEFT(A67,4)</f>
        <v/>
      </c>
      <c r="C67" t="inlineStr">
        <is>
          <t>MONACO LOW GTX</t>
        </is>
      </c>
      <c r="E67">
        <f>"8"&amp;RIGHT(A67,4)</f>
        <v/>
      </c>
      <c r="F67" t="n">
        <v>0</v>
      </c>
      <c r="G67" t="n">
        <v>42</v>
      </c>
      <c r="H67" t="n">
        <v>55</v>
      </c>
      <c r="I67" t="n">
        <v>105.8</v>
      </c>
      <c r="J67">
        <f>I67*0.97</f>
        <v/>
      </c>
      <c r="K67">
        <f>J67</f>
        <v/>
      </c>
      <c r="L67">
        <f>H67*J67</f>
        <v/>
      </c>
      <c r="M67">
        <f>K67*H67</f>
        <v/>
      </c>
    </row>
    <row r="68">
      <c r="A68">
        <f>A67</f>
        <v/>
      </c>
      <c r="B68">
        <f>LEFT(A68,4)</f>
        <v/>
      </c>
      <c r="C68" t="inlineStr">
        <is>
          <t>MONACO LOW GTX</t>
        </is>
      </c>
      <c r="E68">
        <f>"8"&amp;RIGHT(A68,4)</f>
        <v/>
      </c>
      <c r="F68" t="n">
        <v>0</v>
      </c>
      <c r="G68" t="n">
        <v>43</v>
      </c>
      <c r="H68" t="n">
        <v>33</v>
      </c>
      <c r="I68" t="n">
        <v>105.8</v>
      </c>
      <c r="J68">
        <f>I68*0.97</f>
        <v/>
      </c>
      <c r="K68">
        <f>J68</f>
        <v/>
      </c>
      <c r="L68">
        <f>H68*J68</f>
        <v/>
      </c>
      <c r="M68">
        <f>K68*H68</f>
        <v/>
      </c>
    </row>
    <row r="69">
      <c r="A69">
        <f>A68</f>
        <v/>
      </c>
      <c r="B69">
        <f>LEFT(A69,4)</f>
        <v/>
      </c>
      <c r="C69" t="inlineStr">
        <is>
          <t>MONACO LOW GTX</t>
        </is>
      </c>
      <c r="E69">
        <f>"8"&amp;RIGHT(A69,4)</f>
        <v/>
      </c>
      <c r="F69" t="n">
        <v>0</v>
      </c>
      <c r="G69" t="n">
        <v>44</v>
      </c>
      <c r="H69" t="n">
        <v>11</v>
      </c>
      <c r="I69" t="n">
        <v>105.8</v>
      </c>
      <c r="J69">
        <f>I69*0.97</f>
        <v/>
      </c>
      <c r="K69">
        <f>J69</f>
        <v/>
      </c>
      <c r="L69">
        <f>H69*J69</f>
        <v/>
      </c>
      <c r="M69">
        <f>K69*H69</f>
        <v/>
      </c>
    </row>
    <row r="70">
      <c r="A70">
        <f>A69</f>
        <v/>
      </c>
      <c r="B70">
        <f>LEFT(A70,4)</f>
        <v/>
      </c>
      <c r="C70" t="inlineStr">
        <is>
          <t>MONACO LOW GTX</t>
        </is>
      </c>
      <c r="E70">
        <f>"8"&amp;RIGHT(A70,4)</f>
        <v/>
      </c>
      <c r="F70" t="n">
        <v>0</v>
      </c>
      <c r="G70" t="n">
        <v>45</v>
      </c>
      <c r="H70" t="n">
        <v>7</v>
      </c>
      <c r="I70" t="n">
        <v>105.8</v>
      </c>
      <c r="J70">
        <f>I70*0.97</f>
        <v/>
      </c>
      <c r="K70">
        <f>J70</f>
        <v/>
      </c>
      <c r="L70">
        <f>H70*J70</f>
        <v/>
      </c>
      <c r="M70">
        <f>K70*H70</f>
        <v/>
      </c>
    </row>
    <row r="71">
      <c r="A71">
        <f>A70</f>
        <v/>
      </c>
      <c r="B71">
        <f>LEFT(A71,4)</f>
        <v/>
      </c>
      <c r="C71" t="inlineStr">
        <is>
          <t>MONACO LOW GTX</t>
        </is>
      </c>
      <c r="E71">
        <f>"8"&amp;RIGHT(A71,4)</f>
        <v/>
      </c>
      <c r="F71" t="n">
        <v>0</v>
      </c>
      <c r="G71" t="n">
        <v>36</v>
      </c>
      <c r="H71" t="n">
        <v>17</v>
      </c>
      <c r="I71" t="n">
        <v>105.8</v>
      </c>
      <c r="J71">
        <f>I71*0.97</f>
        <v/>
      </c>
      <c r="K71">
        <f>J71</f>
        <v/>
      </c>
      <c r="L71">
        <f>H71*J71</f>
        <v/>
      </c>
      <c r="M71">
        <f>K71*H71</f>
        <v/>
      </c>
    </row>
    <row r="72">
      <c r="A72">
        <f>A71</f>
        <v/>
      </c>
      <c r="B72">
        <f>LEFT(A72,4)</f>
        <v/>
      </c>
      <c r="C72" t="inlineStr">
        <is>
          <t>MONACO LOW GTX</t>
        </is>
      </c>
      <c r="E72">
        <f>"8"&amp;RIGHT(A72,4)</f>
        <v/>
      </c>
      <c r="F72" t="n">
        <v>0</v>
      </c>
      <c r="G72" t="n">
        <v>37</v>
      </c>
      <c r="H72" t="n">
        <v>23</v>
      </c>
      <c r="I72" t="n">
        <v>105.8</v>
      </c>
      <c r="J72">
        <f>I72*0.97</f>
        <v/>
      </c>
      <c r="K72">
        <f>J72</f>
        <v/>
      </c>
      <c r="L72">
        <f>H72*J72</f>
        <v/>
      </c>
      <c r="M72">
        <f>K72*H72</f>
        <v/>
      </c>
    </row>
    <row r="73">
      <c r="A73">
        <f>A72</f>
        <v/>
      </c>
      <c r="B73">
        <f>LEFT(A73,4)</f>
        <v/>
      </c>
      <c r="C73" t="inlineStr">
        <is>
          <t>MONACO LOW GTX</t>
        </is>
      </c>
      <c r="E73">
        <f>"8"&amp;RIGHT(A73,4)</f>
        <v/>
      </c>
      <c r="F73" t="n">
        <v>0</v>
      </c>
      <c r="G73" t="n">
        <v>38</v>
      </c>
      <c r="H73" t="n">
        <v>32</v>
      </c>
      <c r="I73" t="n">
        <v>105.8</v>
      </c>
      <c r="J73">
        <f>I73*0.97</f>
        <v/>
      </c>
      <c r="K73">
        <f>J73</f>
        <v/>
      </c>
      <c r="L73">
        <f>H73*J73</f>
        <v/>
      </c>
      <c r="M73">
        <f>K73*H73</f>
        <v/>
      </c>
    </row>
    <row r="74">
      <c r="A74">
        <f>A73</f>
        <v/>
      </c>
      <c r="B74">
        <f>LEFT(A74,4)</f>
        <v/>
      </c>
      <c r="C74" t="inlineStr">
        <is>
          <t>MONACO LOW GTX</t>
        </is>
      </c>
      <c r="E74">
        <f>"8"&amp;RIGHT(A74,4)</f>
        <v/>
      </c>
      <c r="F74" t="n">
        <v>0</v>
      </c>
      <c r="G74" t="n">
        <v>39</v>
      </c>
      <c r="H74" t="n">
        <v>33</v>
      </c>
      <c r="I74" t="n">
        <v>105.8</v>
      </c>
      <c r="J74">
        <f>I74*0.97</f>
        <v/>
      </c>
      <c r="K74">
        <f>J74</f>
        <v/>
      </c>
      <c r="L74">
        <f>H74*J74</f>
        <v/>
      </c>
      <c r="M74">
        <f>K74*H74</f>
        <v/>
      </c>
    </row>
    <row r="75">
      <c r="A75">
        <f>A74</f>
        <v/>
      </c>
      <c r="B75">
        <f>LEFT(A75,4)</f>
        <v/>
      </c>
      <c r="C75" t="inlineStr">
        <is>
          <t>MONACO LOW GTX</t>
        </is>
      </c>
      <c r="E75">
        <f>"8"&amp;RIGHT(A75,4)</f>
        <v/>
      </c>
      <c r="F75" t="n">
        <v>0</v>
      </c>
      <c r="G75" t="n">
        <v>40</v>
      </c>
      <c r="H75" t="n">
        <v>45</v>
      </c>
      <c r="I75" t="n">
        <v>105.8</v>
      </c>
      <c r="J75">
        <f>I75*0.97</f>
        <v/>
      </c>
      <c r="K75">
        <f>J75</f>
        <v/>
      </c>
      <c r="L75">
        <f>H75*J75</f>
        <v/>
      </c>
      <c r="M75">
        <f>K75*H75</f>
        <v/>
      </c>
    </row>
    <row r="76">
      <c r="A76">
        <f>A75</f>
        <v/>
      </c>
      <c r="B76">
        <f>LEFT(A76,4)</f>
        <v/>
      </c>
      <c r="C76" t="inlineStr">
        <is>
          <t>MONACO LOW GTX</t>
        </is>
      </c>
      <c r="E76">
        <f>"8"&amp;RIGHT(A76,4)</f>
        <v/>
      </c>
      <c r="F76" t="n">
        <v>0</v>
      </c>
      <c r="G76" t="n">
        <v>41</v>
      </c>
      <c r="H76" t="n">
        <v>59</v>
      </c>
      <c r="I76" t="n">
        <v>105.8</v>
      </c>
      <c r="J76">
        <f>I76*0.97</f>
        <v/>
      </c>
      <c r="K76">
        <f>J76</f>
        <v/>
      </c>
      <c r="L76">
        <f>H76*J76</f>
        <v/>
      </c>
      <c r="M76">
        <f>K76*H76</f>
        <v/>
      </c>
    </row>
    <row r="77">
      <c r="A77">
        <f>A76</f>
        <v/>
      </c>
      <c r="B77">
        <f>LEFT(A77,4)</f>
        <v/>
      </c>
      <c r="C77" t="inlineStr">
        <is>
          <t>MONACO LOW GTX</t>
        </is>
      </c>
      <c r="E77">
        <f>"8"&amp;RIGHT(A77,4)</f>
        <v/>
      </c>
      <c r="F77" t="n">
        <v>0</v>
      </c>
      <c r="G77" t="n">
        <v>42</v>
      </c>
      <c r="H77" t="n">
        <v>18</v>
      </c>
      <c r="I77" t="n">
        <v>105.8</v>
      </c>
      <c r="J77">
        <f>I77*0.97</f>
        <v/>
      </c>
      <c r="K77">
        <f>J77</f>
        <v/>
      </c>
      <c r="L77">
        <f>H77*J77</f>
        <v/>
      </c>
      <c r="M77">
        <f>K77*H77</f>
        <v/>
      </c>
    </row>
    <row r="78">
      <c r="A78">
        <f>A77</f>
        <v/>
      </c>
      <c r="B78">
        <f>LEFT(A78,4)</f>
        <v/>
      </c>
      <c r="C78" t="inlineStr">
        <is>
          <t>MONACO LOW GTX</t>
        </is>
      </c>
      <c r="E78">
        <f>"8"&amp;RIGHT(A78,4)</f>
        <v/>
      </c>
      <c r="F78" t="n">
        <v>0</v>
      </c>
      <c r="G78" t="n">
        <v>43</v>
      </c>
      <c r="H78" t="n">
        <v>12</v>
      </c>
      <c r="I78" t="n">
        <v>105.8</v>
      </c>
      <c r="J78">
        <f>I78*0.97</f>
        <v/>
      </c>
      <c r="K78">
        <f>J78</f>
        <v/>
      </c>
      <c r="L78">
        <f>H78*J78</f>
        <v/>
      </c>
      <c r="M78">
        <f>K78*H78</f>
        <v/>
      </c>
    </row>
    <row r="79">
      <c r="A79">
        <f>A78</f>
        <v/>
      </c>
      <c r="B79">
        <f>LEFT(A79,4)</f>
        <v/>
      </c>
      <c r="C79" t="inlineStr">
        <is>
          <t>MONACO LOW GTX</t>
        </is>
      </c>
      <c r="E79">
        <f>"8"&amp;RIGHT(A79,4)</f>
        <v/>
      </c>
      <c r="F79" t="n">
        <v>0</v>
      </c>
      <c r="G79" t="n">
        <v>44</v>
      </c>
      <c r="H79" t="n">
        <v>11</v>
      </c>
      <c r="I79" t="n">
        <v>105.8</v>
      </c>
      <c r="J79">
        <f>I79*0.97</f>
        <v/>
      </c>
      <c r="K79">
        <f>J79</f>
        <v/>
      </c>
      <c r="L79">
        <f>H79*J79</f>
        <v/>
      </c>
      <c r="M79">
        <f>K79*H79</f>
        <v/>
      </c>
    </row>
    <row r="80">
      <c r="A80">
        <f>A79</f>
        <v/>
      </c>
      <c r="B80">
        <f>LEFT(A80,4)</f>
        <v/>
      </c>
      <c r="C80" t="inlineStr">
        <is>
          <t>MONACO LOW GTX</t>
        </is>
      </c>
      <c r="E80">
        <f>"8"&amp;RIGHT(A80,4)</f>
        <v/>
      </c>
      <c r="F80" t="n">
        <v>0</v>
      </c>
      <c r="G80" t="n">
        <v>45</v>
      </c>
      <c r="H80" t="n">
        <v>3</v>
      </c>
      <c r="I80" t="n">
        <v>105.8</v>
      </c>
      <c r="J80">
        <f>I80*0.97</f>
        <v/>
      </c>
      <c r="K80">
        <f>J80</f>
        <v/>
      </c>
      <c r="L80">
        <f>H80*J80</f>
        <v/>
      </c>
      <c r="M80">
        <f>K80*H80</f>
        <v/>
      </c>
    </row>
    <row r="81">
      <c r="A81" t="inlineStr">
        <is>
          <t>17603100</t>
        </is>
      </c>
      <c r="B81">
        <f>LEFT(A81,4)</f>
        <v/>
      </c>
      <c r="C81" t="inlineStr">
        <is>
          <t>LIBERA EFX</t>
        </is>
      </c>
      <c r="E81">
        <f>"8"&amp;RIGHT(A81,4)</f>
        <v/>
      </c>
      <c r="F81" t="n">
        <v>0</v>
      </c>
      <c r="G81" t="n">
        <v>36</v>
      </c>
      <c r="H81" t="n">
        <v>11</v>
      </c>
      <c r="I81" t="n">
        <v>87.5</v>
      </c>
      <c r="J81">
        <f>I81*0.97</f>
        <v/>
      </c>
      <c r="K81">
        <f>J81</f>
        <v/>
      </c>
      <c r="L81">
        <f>H81*J81</f>
        <v/>
      </c>
      <c r="M81">
        <f>K81*H81</f>
        <v/>
      </c>
    </row>
    <row r="82">
      <c r="A82">
        <f>A81</f>
        <v/>
      </c>
      <c r="B82">
        <f>LEFT(A82,4)</f>
        <v/>
      </c>
      <c r="C82" t="inlineStr">
        <is>
          <t>LIBERA EFX</t>
        </is>
      </c>
      <c r="E82">
        <f>"8"&amp;RIGHT(A82,4)</f>
        <v/>
      </c>
      <c r="F82" t="n">
        <v>0</v>
      </c>
      <c r="G82" t="n">
        <v>37</v>
      </c>
      <c r="H82" t="n">
        <v>24</v>
      </c>
      <c r="I82" t="n">
        <v>87.5</v>
      </c>
      <c r="J82">
        <f>I82*0.97</f>
        <v/>
      </c>
      <c r="K82">
        <f>J82</f>
        <v/>
      </c>
      <c r="L82">
        <f>H82*J82</f>
        <v/>
      </c>
      <c r="M82">
        <f>K82*H82</f>
        <v/>
      </c>
    </row>
    <row r="83">
      <c r="A83">
        <f>A82</f>
        <v/>
      </c>
      <c r="B83">
        <f>LEFT(A83,4)</f>
        <v/>
      </c>
      <c r="C83" t="inlineStr">
        <is>
          <t>LIBERA EFX</t>
        </is>
      </c>
      <c r="E83">
        <f>"8"&amp;RIGHT(A83,4)</f>
        <v/>
      </c>
      <c r="F83" t="n">
        <v>0</v>
      </c>
      <c r="G83" t="n">
        <v>38</v>
      </c>
      <c r="H83" t="n">
        <v>27</v>
      </c>
      <c r="I83" t="n">
        <v>87.5</v>
      </c>
      <c r="J83">
        <f>I83*0.97</f>
        <v/>
      </c>
      <c r="K83">
        <f>J83</f>
        <v/>
      </c>
      <c r="L83">
        <f>H83*J83</f>
        <v/>
      </c>
      <c r="M83">
        <f>K83*H83</f>
        <v/>
      </c>
    </row>
    <row r="84">
      <c r="A84">
        <f>A83</f>
        <v/>
      </c>
      <c r="B84">
        <f>LEFT(A84,4)</f>
        <v/>
      </c>
      <c r="C84" t="inlineStr">
        <is>
          <t>LIBERA EFX</t>
        </is>
      </c>
      <c r="E84">
        <f>"8"&amp;RIGHT(A84,4)</f>
        <v/>
      </c>
      <c r="F84" t="n">
        <v>0</v>
      </c>
      <c r="G84" t="n">
        <v>39</v>
      </c>
      <c r="H84" t="n">
        <v>19</v>
      </c>
      <c r="I84" t="n">
        <v>87.5</v>
      </c>
      <c r="J84">
        <f>I84*0.97</f>
        <v/>
      </c>
      <c r="K84">
        <f>J84</f>
        <v/>
      </c>
      <c r="L84">
        <f>H84*J84</f>
        <v/>
      </c>
      <c r="M84">
        <f>K84*H84</f>
        <v/>
      </c>
    </row>
    <row r="85">
      <c r="A85">
        <f>A84</f>
        <v/>
      </c>
      <c r="B85">
        <f>LEFT(A85,4)</f>
        <v/>
      </c>
      <c r="C85" t="inlineStr">
        <is>
          <t>LIBERA EFX</t>
        </is>
      </c>
      <c r="E85">
        <f>"8"&amp;RIGHT(A85,4)</f>
        <v/>
      </c>
      <c r="F85" t="n">
        <v>0</v>
      </c>
      <c r="G85" t="n">
        <v>40</v>
      </c>
      <c r="H85" t="n">
        <v>29</v>
      </c>
      <c r="I85" t="n">
        <v>87.5</v>
      </c>
      <c r="J85">
        <f>I85*0.97</f>
        <v/>
      </c>
      <c r="K85">
        <f>J85</f>
        <v/>
      </c>
      <c r="L85">
        <f>H85*J85</f>
        <v/>
      </c>
      <c r="M85">
        <f>K85*H85</f>
        <v/>
      </c>
    </row>
    <row r="86">
      <c r="A86">
        <f>A85</f>
        <v/>
      </c>
      <c r="B86">
        <f>LEFT(A86,4)</f>
        <v/>
      </c>
      <c r="C86" t="inlineStr">
        <is>
          <t>LIBERA EFX</t>
        </is>
      </c>
      <c r="E86">
        <f>"8"&amp;RIGHT(A86,4)</f>
        <v/>
      </c>
      <c r="F86" t="n">
        <v>0</v>
      </c>
      <c r="G86" t="n">
        <v>41</v>
      </c>
      <c r="H86" t="n">
        <v>53</v>
      </c>
      <c r="I86" t="n">
        <v>87.5</v>
      </c>
      <c r="J86">
        <f>I86*0.97</f>
        <v/>
      </c>
      <c r="K86">
        <f>J86</f>
        <v/>
      </c>
      <c r="L86">
        <f>H86*J86</f>
        <v/>
      </c>
      <c r="M86">
        <f>K86*H86</f>
        <v/>
      </c>
    </row>
    <row r="87">
      <c r="A87">
        <f>A86</f>
        <v/>
      </c>
      <c r="B87">
        <f>LEFT(A87,4)</f>
        <v/>
      </c>
      <c r="C87" t="inlineStr">
        <is>
          <t>LIBERA EFX</t>
        </is>
      </c>
      <c r="E87">
        <f>"8"&amp;RIGHT(A87,4)</f>
        <v/>
      </c>
      <c r="F87" t="n">
        <v>0</v>
      </c>
      <c r="G87" t="n">
        <v>42</v>
      </c>
      <c r="H87" t="n">
        <v>41</v>
      </c>
      <c r="I87" t="n">
        <v>87.5</v>
      </c>
      <c r="J87">
        <f>I87*0.97</f>
        <v/>
      </c>
      <c r="K87">
        <f>J87</f>
        <v/>
      </c>
      <c r="L87">
        <f>H87*J87</f>
        <v/>
      </c>
      <c r="M87">
        <f>K87*H87</f>
        <v/>
      </c>
    </row>
    <row r="88">
      <c r="A88">
        <f>A87</f>
        <v/>
      </c>
      <c r="B88">
        <f>LEFT(A88,4)</f>
        <v/>
      </c>
      <c r="C88" t="inlineStr">
        <is>
          <t>LIBERA EFX</t>
        </is>
      </c>
      <c r="E88">
        <f>"8"&amp;RIGHT(A88,4)</f>
        <v/>
      </c>
      <c r="F88" t="n">
        <v>0</v>
      </c>
      <c r="G88" t="n">
        <v>43</v>
      </c>
      <c r="H88" t="n">
        <v>18</v>
      </c>
      <c r="I88" t="n">
        <v>87.5</v>
      </c>
      <c r="J88">
        <f>I88*0.97</f>
        <v/>
      </c>
      <c r="K88">
        <f>J88</f>
        <v/>
      </c>
      <c r="L88">
        <f>H88*J88</f>
        <v/>
      </c>
      <c r="M88">
        <f>K88*H88</f>
        <v/>
      </c>
    </row>
    <row r="89">
      <c r="A89">
        <f>A88</f>
        <v/>
      </c>
      <c r="B89">
        <f>LEFT(A89,4)</f>
        <v/>
      </c>
      <c r="C89" t="inlineStr">
        <is>
          <t>LIBERA EFX</t>
        </is>
      </c>
      <c r="E89">
        <f>"8"&amp;RIGHT(A89,4)</f>
        <v/>
      </c>
      <c r="F89" t="n">
        <v>0</v>
      </c>
      <c r="G89" t="n">
        <v>44</v>
      </c>
      <c r="H89" t="n">
        <v>5</v>
      </c>
      <c r="I89" t="n">
        <v>87.5</v>
      </c>
      <c r="J89">
        <f>I89*0.97</f>
        <v/>
      </c>
      <c r="K89">
        <f>J89</f>
        <v/>
      </c>
      <c r="L89">
        <f>H89*J89</f>
        <v/>
      </c>
      <c r="M89">
        <f>K89*H89</f>
        <v/>
      </c>
    </row>
    <row r="90">
      <c r="A90">
        <f>A89</f>
        <v/>
      </c>
      <c r="B90">
        <f>LEFT(A90,4)</f>
        <v/>
      </c>
      <c r="C90" t="inlineStr">
        <is>
          <t>LIBERA EFX</t>
        </is>
      </c>
      <c r="E90">
        <f>"8"&amp;RIGHT(A90,4)</f>
        <v/>
      </c>
      <c r="F90" t="n">
        <v>0</v>
      </c>
      <c r="G90" t="n">
        <v>45</v>
      </c>
      <c r="H90" t="n">
        <v>2</v>
      </c>
      <c r="I90" t="n">
        <v>87.5</v>
      </c>
      <c r="J90">
        <f>I90*0.97</f>
        <v/>
      </c>
      <c r="K90">
        <f>J90</f>
        <v/>
      </c>
      <c r="L90">
        <f>H90*J90</f>
        <v/>
      </c>
      <c r="M90">
        <f>K90*H90</f>
        <v/>
      </c>
    </row>
    <row r="91">
      <c r="A91" t="inlineStr">
        <is>
          <t>17603032</t>
        </is>
      </c>
      <c r="B91">
        <f>LEFT(A91,4)</f>
        <v/>
      </c>
      <c r="C91" t="inlineStr">
        <is>
          <t>LIBERA EFX</t>
        </is>
      </c>
      <c r="E91">
        <f>"8"&amp;RIGHT(A91,4)</f>
        <v/>
      </c>
      <c r="F91" t="n">
        <v>0</v>
      </c>
      <c r="G91" t="n">
        <v>37</v>
      </c>
      <c r="H91" t="n">
        <v>52</v>
      </c>
      <c r="I91" t="n">
        <v>87.5</v>
      </c>
      <c r="J91">
        <f>I91*0.97</f>
        <v/>
      </c>
      <c r="K91">
        <f>J91</f>
        <v/>
      </c>
      <c r="L91">
        <f>H91*J91</f>
        <v/>
      </c>
      <c r="M91">
        <f>K91*H91</f>
        <v/>
      </c>
    </row>
    <row r="92">
      <c r="A92">
        <f>A91</f>
        <v/>
      </c>
      <c r="B92">
        <f>LEFT(A92,4)</f>
        <v/>
      </c>
      <c r="C92" t="inlineStr">
        <is>
          <t>LIBERA EFX</t>
        </is>
      </c>
      <c r="E92">
        <f>"8"&amp;RIGHT(A92,4)</f>
        <v/>
      </c>
      <c r="F92" t="n">
        <v>0</v>
      </c>
      <c r="G92" t="n">
        <v>38</v>
      </c>
      <c r="H92" t="n">
        <v>50</v>
      </c>
      <c r="I92" t="n">
        <v>87.5</v>
      </c>
      <c r="J92">
        <f>I92*0.97</f>
        <v/>
      </c>
      <c r="K92">
        <f>J92</f>
        <v/>
      </c>
      <c r="L92">
        <f>H92*J92</f>
        <v/>
      </c>
      <c r="M92">
        <f>K92*H92</f>
        <v/>
      </c>
    </row>
    <row r="93">
      <c r="A93">
        <f>A92</f>
        <v/>
      </c>
      <c r="B93">
        <f>LEFT(A93,4)</f>
        <v/>
      </c>
      <c r="C93" t="inlineStr">
        <is>
          <t>LIBERA EFX</t>
        </is>
      </c>
      <c r="E93">
        <f>"8"&amp;RIGHT(A93,4)</f>
        <v/>
      </c>
      <c r="F93" t="n">
        <v>0</v>
      </c>
      <c r="G93" t="n">
        <v>39</v>
      </c>
      <c r="H93" t="n">
        <v>41</v>
      </c>
      <c r="I93" t="n">
        <v>87.5</v>
      </c>
      <c r="J93">
        <f>I93*0.97</f>
        <v/>
      </c>
      <c r="K93">
        <f>J93</f>
        <v/>
      </c>
      <c r="L93">
        <f>H93*J93</f>
        <v/>
      </c>
      <c r="M93">
        <f>K93*H93</f>
        <v/>
      </c>
    </row>
    <row r="94">
      <c r="A94">
        <f>A93</f>
        <v/>
      </c>
      <c r="B94">
        <f>LEFT(A94,4)</f>
        <v/>
      </c>
      <c r="C94" t="inlineStr">
        <is>
          <t>LIBERA EFX</t>
        </is>
      </c>
      <c r="E94">
        <f>"8"&amp;RIGHT(A94,4)</f>
        <v/>
      </c>
      <c r="F94" t="n">
        <v>0</v>
      </c>
      <c r="G94" t="n">
        <v>40</v>
      </c>
      <c r="H94" t="n">
        <v>31</v>
      </c>
      <c r="I94" t="n">
        <v>87.5</v>
      </c>
      <c r="J94">
        <f>I94*0.97</f>
        <v/>
      </c>
      <c r="K94">
        <f>J94</f>
        <v/>
      </c>
      <c r="L94">
        <f>H94*J94</f>
        <v/>
      </c>
      <c r="M94">
        <f>K94*H94</f>
        <v/>
      </c>
    </row>
    <row r="95">
      <c r="A95">
        <f>A94</f>
        <v/>
      </c>
      <c r="B95">
        <f>LEFT(A95,4)</f>
        <v/>
      </c>
      <c r="C95" t="inlineStr">
        <is>
          <t>LIBERA EFX</t>
        </is>
      </c>
      <c r="E95">
        <f>"8"&amp;RIGHT(A95,4)</f>
        <v/>
      </c>
      <c r="F95" t="n">
        <v>0</v>
      </c>
      <c r="G95" t="n">
        <v>41</v>
      </c>
      <c r="H95" t="n">
        <v>55</v>
      </c>
      <c r="I95" t="n">
        <v>87.5</v>
      </c>
      <c r="J95">
        <f>I95*0.97</f>
        <v/>
      </c>
      <c r="K95">
        <f>J95</f>
        <v/>
      </c>
      <c r="L95">
        <f>H95*J95</f>
        <v/>
      </c>
      <c r="M95">
        <f>K95*H95</f>
        <v/>
      </c>
    </row>
    <row r="96">
      <c r="A96">
        <f>A95</f>
        <v/>
      </c>
      <c r="B96">
        <f>LEFT(A96,4)</f>
        <v/>
      </c>
      <c r="C96" t="inlineStr">
        <is>
          <t>LIBERA EFX</t>
        </is>
      </c>
      <c r="E96">
        <f>"8"&amp;RIGHT(A96,4)</f>
        <v/>
      </c>
      <c r="F96" t="n">
        <v>0</v>
      </c>
      <c r="G96" t="n">
        <v>42</v>
      </c>
      <c r="H96" t="n">
        <v>62</v>
      </c>
      <c r="I96" t="n">
        <v>87.5</v>
      </c>
      <c r="J96">
        <f>I96*0.97</f>
        <v/>
      </c>
      <c r="K96">
        <f>J96</f>
        <v/>
      </c>
      <c r="L96">
        <f>H96*J96</f>
        <v/>
      </c>
      <c r="M96">
        <f>K96*H96</f>
        <v/>
      </c>
    </row>
    <row r="97">
      <c r="A97">
        <f>A96</f>
        <v/>
      </c>
      <c r="B97">
        <f>LEFT(A97,4)</f>
        <v/>
      </c>
      <c r="C97" t="inlineStr">
        <is>
          <t>LIBERA EFX</t>
        </is>
      </c>
      <c r="E97">
        <f>"8"&amp;RIGHT(A97,4)</f>
        <v/>
      </c>
      <c r="F97" t="n">
        <v>0</v>
      </c>
      <c r="G97" t="n">
        <v>43</v>
      </c>
      <c r="H97" t="n">
        <v>42</v>
      </c>
      <c r="I97" t="n">
        <v>87.5</v>
      </c>
      <c r="J97">
        <f>I97*0.97</f>
        <v/>
      </c>
      <c r="K97">
        <f>J97</f>
        <v/>
      </c>
      <c r="L97">
        <f>H97*J97</f>
        <v/>
      </c>
      <c r="M97">
        <f>K97*H97</f>
        <v/>
      </c>
    </row>
    <row r="98">
      <c r="A98">
        <f>A97</f>
        <v/>
      </c>
      <c r="B98">
        <f>LEFT(A98,4)</f>
        <v/>
      </c>
      <c r="C98" t="inlineStr">
        <is>
          <t>LIBERA EFX</t>
        </is>
      </c>
      <c r="E98">
        <f>"8"&amp;RIGHT(A98,4)</f>
        <v/>
      </c>
      <c r="F98" t="n">
        <v>0</v>
      </c>
      <c r="G98" t="n">
        <v>44</v>
      </c>
      <c r="H98" t="n">
        <v>22</v>
      </c>
      <c r="I98" t="n">
        <v>87.5</v>
      </c>
      <c r="J98">
        <f>I98*0.97</f>
        <v/>
      </c>
      <c r="K98">
        <f>J98</f>
        <v/>
      </c>
      <c r="L98">
        <f>H98*J98</f>
        <v/>
      </c>
      <c r="M98">
        <f>K98*H98</f>
        <v/>
      </c>
    </row>
    <row r="99">
      <c r="A99">
        <f>A98</f>
        <v/>
      </c>
      <c r="B99">
        <f>LEFT(A99,4)</f>
        <v/>
      </c>
      <c r="C99" t="inlineStr">
        <is>
          <t>LIBERA EFX</t>
        </is>
      </c>
      <c r="E99">
        <f>"8"&amp;RIGHT(A99,4)</f>
        <v/>
      </c>
      <c r="F99" t="n">
        <v>0</v>
      </c>
      <c r="G99" t="n">
        <v>45</v>
      </c>
      <c r="H99" t="n">
        <v>3</v>
      </c>
      <c r="I99" t="n">
        <v>87.5</v>
      </c>
      <c r="J99">
        <f>I99*0.97</f>
        <v/>
      </c>
      <c r="K99">
        <f>J99</f>
        <v/>
      </c>
      <c r="L99">
        <f>H99*J99</f>
        <v/>
      </c>
      <c r="M99">
        <f>K99*H99</f>
        <v/>
      </c>
    </row>
    <row r="100">
      <c r="A100" t="inlineStr">
        <is>
          <t>17603100</t>
        </is>
      </c>
      <c r="B100">
        <f>LEFT(A100,4)</f>
        <v/>
      </c>
      <c r="C100" t="inlineStr">
        <is>
          <t>LIBERA EFX</t>
        </is>
      </c>
      <c r="E100">
        <f>"8"&amp;RIGHT(A100,4)</f>
        <v/>
      </c>
      <c r="F100" t="n">
        <v>0</v>
      </c>
      <c r="G100" t="n">
        <v>36</v>
      </c>
      <c r="H100" t="n">
        <v>1</v>
      </c>
      <c r="I100" t="n">
        <v>87.5</v>
      </c>
      <c r="J100">
        <f>I100*0.97</f>
        <v/>
      </c>
      <c r="K100">
        <f>J100</f>
        <v/>
      </c>
      <c r="L100">
        <f>H100*J100</f>
        <v/>
      </c>
      <c r="M100">
        <f>K100*H100</f>
        <v/>
      </c>
    </row>
    <row r="101">
      <c r="A101">
        <f>A100</f>
        <v/>
      </c>
      <c r="B101">
        <f>LEFT(A101,4)</f>
        <v/>
      </c>
      <c r="C101" t="inlineStr">
        <is>
          <t>LIBERA EFX</t>
        </is>
      </c>
      <c r="E101">
        <f>"8"&amp;RIGHT(A101,4)</f>
        <v/>
      </c>
      <c r="F101" t="n">
        <v>0</v>
      </c>
      <c r="G101" t="n">
        <v>40</v>
      </c>
      <c r="H101" t="n">
        <v>7</v>
      </c>
      <c r="I101" t="n">
        <v>87.5</v>
      </c>
      <c r="J101">
        <f>I101*0.97</f>
        <v/>
      </c>
      <c r="K101">
        <f>J101</f>
        <v/>
      </c>
      <c r="L101">
        <f>H101*J101</f>
        <v/>
      </c>
      <c r="M101">
        <f>K101*H101</f>
        <v/>
      </c>
    </row>
    <row r="102">
      <c r="A102" t="inlineStr">
        <is>
          <t>17603032</t>
        </is>
      </c>
      <c r="B102">
        <f>LEFT(A102,4)</f>
        <v/>
      </c>
      <c r="C102" t="inlineStr">
        <is>
          <t>LIBERA EFX</t>
        </is>
      </c>
      <c r="E102">
        <f>"8"&amp;RIGHT(A102,4)</f>
        <v/>
      </c>
      <c r="F102" t="n">
        <v>0</v>
      </c>
      <c r="G102" t="n">
        <v>35</v>
      </c>
      <c r="H102" t="n">
        <v>4</v>
      </c>
      <c r="I102" t="n">
        <v>87.5</v>
      </c>
      <c r="J102">
        <f>I102*0.97</f>
        <v/>
      </c>
      <c r="K102">
        <f>J102</f>
        <v/>
      </c>
      <c r="L102">
        <f>H102*J102</f>
        <v/>
      </c>
      <c r="M102">
        <f>K102*H102</f>
        <v/>
      </c>
    </row>
    <row r="103">
      <c r="A103">
        <f>A102</f>
        <v/>
      </c>
      <c r="B103">
        <f>LEFT(A103,4)</f>
        <v/>
      </c>
      <c r="C103" t="inlineStr">
        <is>
          <t>LIBERA EFX</t>
        </is>
      </c>
      <c r="E103">
        <f>"8"&amp;RIGHT(A103,4)</f>
        <v/>
      </c>
      <c r="F103" t="n">
        <v>0</v>
      </c>
      <c r="G103" t="n">
        <v>36</v>
      </c>
      <c r="H103" t="n">
        <v>32</v>
      </c>
      <c r="I103" t="n">
        <v>87.5</v>
      </c>
      <c r="J103">
        <f>I103*0.97</f>
        <v/>
      </c>
      <c r="K103">
        <f>J103</f>
        <v/>
      </c>
      <c r="L103">
        <f>H103*J103</f>
        <v/>
      </c>
      <c r="M103">
        <f>K103*H103</f>
        <v/>
      </c>
    </row>
    <row r="104">
      <c r="A104">
        <f>A103</f>
        <v/>
      </c>
      <c r="B104">
        <f>LEFT(A104,4)</f>
        <v/>
      </c>
      <c r="C104" t="inlineStr">
        <is>
          <t>LIBERA EFX</t>
        </is>
      </c>
      <c r="E104">
        <f>"8"&amp;RIGHT(A104,4)</f>
        <v/>
      </c>
      <c r="F104" t="n">
        <v>0</v>
      </c>
      <c r="G104" t="n">
        <v>37</v>
      </c>
      <c r="H104" t="n">
        <v>4</v>
      </c>
      <c r="I104" t="n">
        <v>87.5</v>
      </c>
      <c r="J104">
        <f>I104*0.97</f>
        <v/>
      </c>
      <c r="K104">
        <f>J104</f>
        <v/>
      </c>
      <c r="L104">
        <f>H104*J104</f>
        <v/>
      </c>
      <c r="M104">
        <f>K104*H104</f>
        <v/>
      </c>
    </row>
    <row r="105">
      <c r="A105">
        <f>A104</f>
        <v/>
      </c>
      <c r="B105">
        <f>LEFT(A105,4)</f>
        <v/>
      </c>
      <c r="C105" t="inlineStr">
        <is>
          <t>LIBERA EFX</t>
        </is>
      </c>
      <c r="E105">
        <f>"8"&amp;RIGHT(A105,4)</f>
        <v/>
      </c>
      <c r="F105" t="n">
        <v>0</v>
      </c>
      <c r="G105" t="n">
        <v>38</v>
      </c>
      <c r="H105" t="n">
        <v>3</v>
      </c>
      <c r="I105" t="n">
        <v>87.5</v>
      </c>
      <c r="J105">
        <f>I105*0.97</f>
        <v/>
      </c>
      <c r="K105">
        <f>J105</f>
        <v/>
      </c>
      <c r="L105">
        <f>H105*J105</f>
        <v/>
      </c>
      <c r="M105">
        <f>K105*H105</f>
        <v/>
      </c>
    </row>
    <row r="106">
      <c r="A106">
        <f>A105</f>
        <v/>
      </c>
      <c r="B106">
        <f>LEFT(A106,4)</f>
        <v/>
      </c>
      <c r="C106" t="inlineStr">
        <is>
          <t>LIBERA EFX</t>
        </is>
      </c>
      <c r="E106">
        <f>"8"&amp;RIGHT(A106,4)</f>
        <v/>
      </c>
      <c r="F106" t="n">
        <v>0</v>
      </c>
      <c r="G106" t="n">
        <v>39</v>
      </c>
      <c r="H106" t="n">
        <v>1</v>
      </c>
      <c r="I106" t="n">
        <v>87.5</v>
      </c>
      <c r="J106">
        <f>I106*0.97</f>
        <v/>
      </c>
      <c r="K106">
        <f>J106</f>
        <v/>
      </c>
      <c r="L106">
        <f>H106*J106</f>
        <v/>
      </c>
      <c r="M106">
        <f>K106*H106</f>
        <v/>
      </c>
    </row>
    <row r="107">
      <c r="A107">
        <f>A106</f>
        <v/>
      </c>
      <c r="B107">
        <f>LEFT(A107,4)</f>
        <v/>
      </c>
      <c r="C107" t="inlineStr">
        <is>
          <t>LIBERA EFX</t>
        </is>
      </c>
      <c r="E107">
        <f>"8"&amp;RIGHT(A107,4)</f>
        <v/>
      </c>
      <c r="F107" t="n">
        <v>0</v>
      </c>
      <c r="G107" t="n">
        <v>40</v>
      </c>
      <c r="H107" t="n">
        <v>1</v>
      </c>
      <c r="I107" t="n">
        <v>87.5</v>
      </c>
      <c r="J107">
        <f>I107*0.97</f>
        <v/>
      </c>
      <c r="K107">
        <f>J107</f>
        <v/>
      </c>
      <c r="L107">
        <f>H107*J107</f>
        <v/>
      </c>
      <c r="M107">
        <f>K107*H107</f>
        <v/>
      </c>
    </row>
    <row r="108">
      <c r="A108">
        <f>A107</f>
        <v/>
      </c>
      <c r="B108">
        <f>LEFT(A108,4)</f>
        <v/>
      </c>
      <c r="C108" t="inlineStr">
        <is>
          <t>LIBERA EFX</t>
        </is>
      </c>
      <c r="E108">
        <f>"8"&amp;RIGHT(A108,4)</f>
        <v/>
      </c>
      <c r="F108" t="n">
        <v>0</v>
      </c>
      <c r="G108" t="n">
        <v>41</v>
      </c>
      <c r="H108" t="n">
        <v>4</v>
      </c>
      <c r="I108" t="n">
        <v>87.5</v>
      </c>
      <c r="J108">
        <f>I108*0.97</f>
        <v/>
      </c>
      <c r="K108">
        <f>J108</f>
        <v/>
      </c>
      <c r="L108">
        <f>H108*J108</f>
        <v/>
      </c>
      <c r="M108">
        <f>K108*H108</f>
        <v/>
      </c>
    </row>
    <row r="109">
      <c r="A109">
        <f>A108</f>
        <v/>
      </c>
      <c r="B109">
        <f>LEFT(A109,4)</f>
        <v/>
      </c>
      <c r="C109" t="inlineStr">
        <is>
          <t>LIBERA EFX</t>
        </is>
      </c>
      <c r="E109">
        <f>"8"&amp;RIGHT(A109,4)</f>
        <v/>
      </c>
      <c r="F109" t="n">
        <v>0</v>
      </c>
      <c r="G109" t="n">
        <v>43</v>
      </c>
      <c r="H109" t="n">
        <v>4</v>
      </c>
      <c r="I109" t="n">
        <v>87.5</v>
      </c>
      <c r="J109">
        <f>I109*0.97</f>
        <v/>
      </c>
      <c r="K109">
        <f>J109</f>
        <v/>
      </c>
      <c r="L109">
        <f>H109*J109</f>
        <v/>
      </c>
      <c r="M109">
        <f>K109*H109</f>
        <v/>
      </c>
    </row>
    <row r="110">
      <c r="A110">
        <f>A109</f>
        <v/>
      </c>
      <c r="B110">
        <f>LEFT(A110,4)</f>
        <v/>
      </c>
      <c r="C110" t="inlineStr">
        <is>
          <t>LIBERA EFX</t>
        </is>
      </c>
      <c r="E110">
        <f>"8"&amp;RIGHT(A110,4)</f>
        <v/>
      </c>
      <c r="F110" t="n">
        <v>0</v>
      </c>
      <c r="G110" t="n">
        <v>44</v>
      </c>
      <c r="H110" t="n">
        <v>2</v>
      </c>
      <c r="I110" t="n">
        <v>87.5</v>
      </c>
      <c r="J110">
        <f>I110*0.97</f>
        <v/>
      </c>
      <c r="K110">
        <f>J110</f>
        <v/>
      </c>
      <c r="L110">
        <f>H110*J110</f>
        <v/>
      </c>
      <c r="M110">
        <f>K110*H110</f>
        <v/>
      </c>
    </row>
    <row r="111">
      <c r="A111">
        <f>A110</f>
        <v/>
      </c>
      <c r="B111">
        <f>LEFT(A111,4)</f>
        <v/>
      </c>
      <c r="C111" t="inlineStr">
        <is>
          <t>LIBERA EFX</t>
        </is>
      </c>
      <c r="E111">
        <f>"8"&amp;RIGHT(A111,4)</f>
        <v/>
      </c>
      <c r="F111" t="n">
        <v>0</v>
      </c>
      <c r="G111" t="n">
        <v>45</v>
      </c>
      <c r="H111" t="n">
        <v>1</v>
      </c>
      <c r="I111" t="n">
        <v>87.5</v>
      </c>
      <c r="J111">
        <f>I111*0.97</f>
        <v/>
      </c>
      <c r="K111">
        <f>J111</f>
        <v/>
      </c>
      <c r="L111">
        <f>H111*J111</f>
        <v/>
      </c>
      <c r="M111">
        <f>K111*H111</f>
        <v/>
      </c>
    </row>
    <row r="112">
      <c r="A112" t="inlineStr">
        <is>
          <t>17604100</t>
        </is>
      </c>
      <c r="B112">
        <f>LEFT(A112,4)</f>
        <v/>
      </c>
      <c r="C112" t="inlineStr">
        <is>
          <t>LIBERA EFX</t>
        </is>
      </c>
      <c r="E112">
        <f>"8"&amp;RIGHT(A112,4)</f>
        <v/>
      </c>
      <c r="F112" t="n">
        <v>0</v>
      </c>
      <c r="G112" t="n">
        <v>40</v>
      </c>
      <c r="H112" t="n">
        <v>29</v>
      </c>
      <c r="I112" t="n">
        <v>87.5</v>
      </c>
      <c r="J112">
        <f>I112*0.97</f>
        <v/>
      </c>
      <c r="K112">
        <f>J112</f>
        <v/>
      </c>
      <c r="L112">
        <f>H112*J112</f>
        <v/>
      </c>
      <c r="M112">
        <f>K112*H112</f>
        <v/>
      </c>
    </row>
    <row r="113">
      <c r="A113">
        <f>A112</f>
        <v/>
      </c>
      <c r="B113">
        <f>LEFT(A113,4)</f>
        <v/>
      </c>
      <c r="C113" t="inlineStr">
        <is>
          <t>LIBERA EFX</t>
        </is>
      </c>
      <c r="E113">
        <f>"8"&amp;RIGHT(A113,4)</f>
        <v/>
      </c>
      <c r="F113" t="n">
        <v>0</v>
      </c>
      <c r="G113" t="n">
        <v>41</v>
      </c>
      <c r="H113" t="n">
        <v>13</v>
      </c>
      <c r="I113" t="n">
        <v>87.5</v>
      </c>
      <c r="J113">
        <f>I113*0.97</f>
        <v/>
      </c>
      <c r="K113">
        <f>J113</f>
        <v/>
      </c>
      <c r="L113">
        <f>H113*J113</f>
        <v/>
      </c>
      <c r="M113">
        <f>K113*H113</f>
        <v/>
      </c>
    </row>
    <row r="114">
      <c r="A114">
        <f>A113</f>
        <v/>
      </c>
      <c r="B114">
        <f>LEFT(A114,4)</f>
        <v/>
      </c>
      <c r="C114" t="inlineStr">
        <is>
          <t>LIBERA EFX</t>
        </is>
      </c>
      <c r="E114">
        <f>"8"&amp;RIGHT(A114,4)</f>
        <v/>
      </c>
      <c r="F114" t="n">
        <v>0</v>
      </c>
      <c r="G114" t="n">
        <v>44</v>
      </c>
      <c r="H114" t="n">
        <v>7</v>
      </c>
      <c r="I114" t="n">
        <v>87.5</v>
      </c>
      <c r="J114">
        <f>I114*0.97</f>
        <v/>
      </c>
      <c r="K114">
        <f>J114</f>
        <v/>
      </c>
      <c r="L114">
        <f>H114*J114</f>
        <v/>
      </c>
      <c r="M114">
        <f>K114*H114</f>
        <v/>
      </c>
    </row>
    <row r="115">
      <c r="A115">
        <f>A114</f>
        <v/>
      </c>
      <c r="B115">
        <f>LEFT(A115,4)</f>
        <v/>
      </c>
      <c r="C115" t="inlineStr">
        <is>
          <t>LIBERA EFX</t>
        </is>
      </c>
      <c r="E115">
        <f>"8"&amp;RIGHT(A115,4)</f>
        <v/>
      </c>
      <c r="F115" t="n">
        <v>0</v>
      </c>
      <c r="G115" t="n">
        <v>45</v>
      </c>
      <c r="H115" t="n">
        <v>6</v>
      </c>
      <c r="I115" t="n">
        <v>87.5</v>
      </c>
      <c r="J115">
        <f>I115*0.97</f>
        <v/>
      </c>
      <c r="K115">
        <f>J115</f>
        <v/>
      </c>
      <c r="L115">
        <f>H115*J115</f>
        <v/>
      </c>
      <c r="M115">
        <f>K115*H115</f>
        <v/>
      </c>
    </row>
    <row r="116">
      <c r="A116" t="inlineStr">
        <is>
          <t>17603100</t>
        </is>
      </c>
      <c r="B116">
        <f>LEFT(A116,4)</f>
        <v/>
      </c>
      <c r="C116" t="inlineStr">
        <is>
          <t>LIBERA EFX</t>
        </is>
      </c>
      <c r="E116">
        <f>"8"&amp;RIGHT(A116,4)</f>
        <v/>
      </c>
      <c r="F116" t="n">
        <v>0</v>
      </c>
      <c r="G116" t="n">
        <v>37</v>
      </c>
      <c r="H116" t="n">
        <v>1</v>
      </c>
      <c r="I116" t="n">
        <v>87.5</v>
      </c>
      <c r="J116">
        <f>I116*0.97</f>
        <v/>
      </c>
      <c r="K116">
        <f>J116</f>
        <v/>
      </c>
      <c r="L116">
        <f>H116*J116</f>
        <v/>
      </c>
      <c r="M116">
        <f>K116*H116</f>
        <v/>
      </c>
    </row>
    <row r="117">
      <c r="A117">
        <f>A116</f>
        <v/>
      </c>
      <c r="B117">
        <f>LEFT(A117,4)</f>
        <v/>
      </c>
      <c r="C117" t="inlineStr">
        <is>
          <t>LIBERA EFX</t>
        </is>
      </c>
      <c r="E117">
        <f>"8"&amp;RIGHT(A117,4)</f>
        <v/>
      </c>
      <c r="F117" t="n">
        <v>0</v>
      </c>
      <c r="G117" t="n">
        <v>39</v>
      </c>
      <c r="H117" t="n">
        <v>1</v>
      </c>
      <c r="I117" t="n">
        <v>87.5</v>
      </c>
      <c r="J117">
        <f>I117*0.97</f>
        <v/>
      </c>
      <c r="K117">
        <f>J117</f>
        <v/>
      </c>
      <c r="L117">
        <f>H117*J117</f>
        <v/>
      </c>
      <c r="M117">
        <f>K117*H117</f>
        <v/>
      </c>
    </row>
    <row r="118">
      <c r="A118">
        <f>A117</f>
        <v/>
      </c>
      <c r="B118">
        <f>LEFT(A118,4)</f>
        <v/>
      </c>
      <c r="C118" t="inlineStr">
        <is>
          <t>LIBERA EFX</t>
        </is>
      </c>
      <c r="E118">
        <f>"8"&amp;RIGHT(A118,4)</f>
        <v/>
      </c>
      <c r="F118" t="n">
        <v>0</v>
      </c>
      <c r="G118" t="n">
        <v>43</v>
      </c>
      <c r="H118" t="n">
        <v>1</v>
      </c>
      <c r="I118" t="n">
        <v>87.5</v>
      </c>
      <c r="J118">
        <f>I118*0.97</f>
        <v/>
      </c>
      <c r="K118">
        <f>J118</f>
        <v/>
      </c>
      <c r="L118">
        <f>H118*J118</f>
        <v/>
      </c>
      <c r="M118">
        <f>K118*H118</f>
        <v/>
      </c>
    </row>
    <row r="119">
      <c r="A119">
        <f>A118</f>
        <v/>
      </c>
      <c r="B119">
        <f>LEFT(A119,4)</f>
        <v/>
      </c>
      <c r="C119" t="inlineStr">
        <is>
          <t>LIBERA EFX</t>
        </is>
      </c>
      <c r="E119">
        <f>"8"&amp;RIGHT(A119,4)</f>
        <v/>
      </c>
      <c r="F119" t="n">
        <v>0</v>
      </c>
      <c r="G119" t="n">
        <v>44</v>
      </c>
      <c r="H119" t="n">
        <v>2</v>
      </c>
      <c r="I119" t="n">
        <v>87.5</v>
      </c>
      <c r="J119">
        <f>I119*0.97</f>
        <v/>
      </c>
      <c r="K119">
        <f>J119</f>
        <v/>
      </c>
      <c r="L119">
        <f>H119*J119</f>
        <v/>
      </c>
      <c r="M119">
        <f>K119*H119</f>
        <v/>
      </c>
    </row>
    <row r="120">
      <c r="A120" t="inlineStr">
        <is>
          <t>17603032</t>
        </is>
      </c>
      <c r="B120">
        <f>LEFT(A120,4)</f>
        <v/>
      </c>
      <c r="C120" t="inlineStr">
        <is>
          <t>LIBERA EFX</t>
        </is>
      </c>
      <c r="E120">
        <f>"8"&amp;RIGHT(A120,4)</f>
        <v/>
      </c>
      <c r="F120" t="n">
        <v>0</v>
      </c>
      <c r="G120" t="n">
        <v>38</v>
      </c>
      <c r="H120" t="n">
        <v>2</v>
      </c>
      <c r="I120" t="n">
        <v>87.5</v>
      </c>
      <c r="J120">
        <f>I120*0.97</f>
        <v/>
      </c>
      <c r="K120">
        <f>J120</f>
        <v/>
      </c>
      <c r="L120">
        <f>H120*J120</f>
        <v/>
      </c>
      <c r="M120">
        <f>K120*H120</f>
        <v/>
      </c>
    </row>
    <row r="121">
      <c r="A121" t="inlineStr">
        <is>
          <t>17604100</t>
        </is>
      </c>
      <c r="B121">
        <f>LEFT(A121,4)</f>
        <v/>
      </c>
      <c r="C121" t="inlineStr">
        <is>
          <t>LIBERA EFX</t>
        </is>
      </c>
      <c r="E121">
        <f>"8"&amp;RIGHT(A121,4)</f>
        <v/>
      </c>
      <c r="F121" t="n">
        <v>0</v>
      </c>
      <c r="G121" t="n">
        <v>35</v>
      </c>
      <c r="H121" t="n">
        <v>4</v>
      </c>
      <c r="I121" t="n">
        <v>87.5</v>
      </c>
      <c r="J121">
        <f>I121*0.97</f>
        <v/>
      </c>
      <c r="K121">
        <f>J121</f>
        <v/>
      </c>
      <c r="L121">
        <f>H121*J121</f>
        <v/>
      </c>
      <c r="M121">
        <f>K121*H121</f>
        <v/>
      </c>
    </row>
    <row r="122">
      <c r="A122">
        <f>A121</f>
        <v/>
      </c>
      <c r="B122">
        <f>LEFT(A122,4)</f>
        <v/>
      </c>
      <c r="C122" t="inlineStr">
        <is>
          <t>LIBERA EFX</t>
        </is>
      </c>
      <c r="E122">
        <f>"8"&amp;RIGHT(A122,4)</f>
        <v/>
      </c>
      <c r="F122" t="n">
        <v>0</v>
      </c>
      <c r="G122" t="n">
        <v>36</v>
      </c>
      <c r="H122" t="n">
        <v>27</v>
      </c>
      <c r="I122" t="n">
        <v>87.5</v>
      </c>
      <c r="J122">
        <f>I122*0.97</f>
        <v/>
      </c>
      <c r="K122">
        <f>J122</f>
        <v/>
      </c>
      <c r="L122">
        <f>H122*J122</f>
        <v/>
      </c>
      <c r="M122">
        <f>K122*H122</f>
        <v/>
      </c>
    </row>
    <row r="123">
      <c r="A123">
        <f>A122</f>
        <v/>
      </c>
      <c r="B123">
        <f>LEFT(A123,4)</f>
        <v/>
      </c>
      <c r="C123" t="inlineStr">
        <is>
          <t>LIBERA EFX</t>
        </is>
      </c>
      <c r="E123">
        <f>"8"&amp;RIGHT(A123,4)</f>
        <v/>
      </c>
      <c r="F123" t="n">
        <v>0</v>
      </c>
      <c r="G123" t="n">
        <v>37</v>
      </c>
      <c r="H123" t="n">
        <v>33</v>
      </c>
      <c r="I123" t="n">
        <v>87.5</v>
      </c>
      <c r="J123">
        <f>I123*0.97</f>
        <v/>
      </c>
      <c r="K123">
        <f>J123</f>
        <v/>
      </c>
      <c r="L123">
        <f>H123*J123</f>
        <v/>
      </c>
      <c r="M123">
        <f>K123*H123</f>
        <v/>
      </c>
    </row>
    <row r="124">
      <c r="A124">
        <f>A123</f>
        <v/>
      </c>
      <c r="B124">
        <f>LEFT(A124,4)</f>
        <v/>
      </c>
      <c r="C124" t="inlineStr">
        <is>
          <t>LIBERA EFX</t>
        </is>
      </c>
      <c r="E124">
        <f>"8"&amp;RIGHT(A124,4)</f>
        <v/>
      </c>
      <c r="F124" t="n">
        <v>0</v>
      </c>
      <c r="G124" t="n">
        <v>38</v>
      </c>
      <c r="H124" t="n">
        <v>41</v>
      </c>
      <c r="I124" t="n">
        <v>87.5</v>
      </c>
      <c r="J124">
        <f>I124*0.97</f>
        <v/>
      </c>
      <c r="K124">
        <f>J124</f>
        <v/>
      </c>
      <c r="L124">
        <f>H124*J124</f>
        <v/>
      </c>
      <c r="M124">
        <f>K124*H124</f>
        <v/>
      </c>
    </row>
    <row r="125">
      <c r="A125">
        <f>A124</f>
        <v/>
      </c>
      <c r="B125">
        <f>LEFT(A125,4)</f>
        <v/>
      </c>
      <c r="C125" t="inlineStr">
        <is>
          <t>LIBERA EFX</t>
        </is>
      </c>
      <c r="E125">
        <f>"8"&amp;RIGHT(A125,4)</f>
        <v/>
      </c>
      <c r="F125" t="n">
        <v>0</v>
      </c>
      <c r="G125" t="n">
        <v>39</v>
      </c>
      <c r="H125" t="n">
        <v>29</v>
      </c>
      <c r="I125" t="n">
        <v>87.5</v>
      </c>
      <c r="J125">
        <f>I125*0.97</f>
        <v/>
      </c>
      <c r="K125">
        <f>J125</f>
        <v/>
      </c>
      <c r="L125">
        <f>H125*J125</f>
        <v/>
      </c>
      <c r="M125">
        <f>K125*H125</f>
        <v/>
      </c>
    </row>
    <row r="126">
      <c r="A126">
        <f>A125</f>
        <v/>
      </c>
      <c r="B126">
        <f>LEFT(A126,4)</f>
        <v/>
      </c>
      <c r="C126" t="inlineStr">
        <is>
          <t>LIBERA EFX</t>
        </is>
      </c>
      <c r="E126">
        <f>"8"&amp;RIGHT(A126,4)</f>
        <v/>
      </c>
      <c r="F126" t="n">
        <v>0</v>
      </c>
      <c r="G126" t="n">
        <v>40</v>
      </c>
      <c r="H126" t="n">
        <v>24</v>
      </c>
      <c r="I126" t="n">
        <v>87.5</v>
      </c>
      <c r="J126">
        <f>I126*0.97</f>
        <v/>
      </c>
      <c r="K126">
        <f>J126</f>
        <v/>
      </c>
      <c r="L126">
        <f>H126*J126</f>
        <v/>
      </c>
      <c r="M126">
        <f>K126*H126</f>
        <v/>
      </c>
    </row>
    <row r="127">
      <c r="A127">
        <f>A126</f>
        <v/>
      </c>
      <c r="B127">
        <f>LEFT(A127,4)</f>
        <v/>
      </c>
      <c r="C127" t="inlineStr">
        <is>
          <t>LIBERA EFX</t>
        </is>
      </c>
      <c r="E127">
        <f>"8"&amp;RIGHT(A127,4)</f>
        <v/>
      </c>
      <c r="F127" t="n">
        <v>0</v>
      </c>
      <c r="G127" t="n">
        <v>41</v>
      </c>
      <c r="H127" t="n">
        <v>67</v>
      </c>
      <c r="I127" t="n">
        <v>87.5</v>
      </c>
      <c r="J127">
        <f>I127*0.97</f>
        <v/>
      </c>
      <c r="K127">
        <f>J127</f>
        <v/>
      </c>
      <c r="L127">
        <f>H127*J127</f>
        <v/>
      </c>
      <c r="M127">
        <f>K127*H127</f>
        <v/>
      </c>
    </row>
    <row r="128">
      <c r="A128">
        <f>A127</f>
        <v/>
      </c>
      <c r="B128">
        <f>LEFT(A128,4)</f>
        <v/>
      </c>
      <c r="C128" t="inlineStr">
        <is>
          <t>LIBERA EFX</t>
        </is>
      </c>
      <c r="E128">
        <f>"8"&amp;RIGHT(A128,4)</f>
        <v/>
      </c>
      <c r="F128" t="n">
        <v>0</v>
      </c>
      <c r="G128" t="n">
        <v>42</v>
      </c>
      <c r="H128" t="n">
        <v>82</v>
      </c>
      <c r="I128" t="n">
        <v>87.5</v>
      </c>
      <c r="J128">
        <f>I128*0.97</f>
        <v/>
      </c>
      <c r="K128">
        <f>J128</f>
        <v/>
      </c>
      <c r="L128">
        <f>H128*J128</f>
        <v/>
      </c>
      <c r="M128">
        <f>K128*H128</f>
        <v/>
      </c>
    </row>
    <row r="129">
      <c r="A129">
        <f>A128</f>
        <v/>
      </c>
      <c r="B129">
        <f>LEFT(A129,4)</f>
        <v/>
      </c>
      <c r="C129" t="inlineStr">
        <is>
          <t>LIBERA EFX</t>
        </is>
      </c>
      <c r="E129">
        <f>"8"&amp;RIGHT(A129,4)</f>
        <v/>
      </c>
      <c r="F129" t="n">
        <v>0</v>
      </c>
      <c r="G129" t="n">
        <v>43</v>
      </c>
      <c r="H129" t="n">
        <v>53</v>
      </c>
      <c r="I129" t="n">
        <v>87.5</v>
      </c>
      <c r="J129">
        <f>I129*0.97</f>
        <v/>
      </c>
      <c r="K129">
        <f>J129</f>
        <v/>
      </c>
      <c r="L129">
        <f>H129*J129</f>
        <v/>
      </c>
      <c r="M129">
        <f>K129*H129</f>
        <v/>
      </c>
    </row>
    <row r="130">
      <c r="A130">
        <f>A129</f>
        <v/>
      </c>
      <c r="B130">
        <f>LEFT(A130,4)</f>
        <v/>
      </c>
      <c r="C130" t="inlineStr">
        <is>
          <t>LIBERA EFX</t>
        </is>
      </c>
      <c r="E130">
        <f>"8"&amp;RIGHT(A130,4)</f>
        <v/>
      </c>
      <c r="F130" t="n">
        <v>0</v>
      </c>
      <c r="G130" t="n">
        <v>44</v>
      </c>
      <c r="H130" t="n">
        <v>22</v>
      </c>
      <c r="I130" t="n">
        <v>87.5</v>
      </c>
      <c r="J130">
        <f>I130*0.97</f>
        <v/>
      </c>
      <c r="K130">
        <f>J130</f>
        <v/>
      </c>
      <c r="L130">
        <f>H130*J130</f>
        <v/>
      </c>
      <c r="M130">
        <f>K130*H130</f>
        <v/>
      </c>
    </row>
    <row r="131">
      <c r="A131">
        <f>A130</f>
        <v/>
      </c>
      <c r="B131">
        <f>LEFT(A131,4)</f>
        <v/>
      </c>
      <c r="C131" t="inlineStr">
        <is>
          <t>LIBERA EFX</t>
        </is>
      </c>
      <c r="E131">
        <f>"8"&amp;RIGHT(A131,4)</f>
        <v/>
      </c>
      <c r="F131" t="n">
        <v>0</v>
      </c>
      <c r="G131" t="n">
        <v>45</v>
      </c>
      <c r="H131" t="n">
        <v>4</v>
      </c>
      <c r="I131" t="n">
        <v>87.5</v>
      </c>
      <c r="J131">
        <f>I131*0.97</f>
        <v/>
      </c>
      <c r="K131">
        <f>J131</f>
        <v/>
      </c>
      <c r="L131">
        <f>H131*J131</f>
        <v/>
      </c>
      <c r="M131">
        <f>K131*H131</f>
        <v/>
      </c>
    </row>
    <row r="132">
      <c r="A132" t="inlineStr">
        <is>
          <t>17830100</t>
        </is>
      </c>
      <c r="B132">
        <f>LEFT(A132,4)</f>
        <v/>
      </c>
      <c r="C132" t="inlineStr">
        <is>
          <t>UNICA EFX LOW GTX</t>
        </is>
      </c>
      <c r="E132">
        <f>"8"&amp;RIGHT(A132,4)</f>
        <v/>
      </c>
      <c r="F132" t="n">
        <v>0</v>
      </c>
      <c r="G132" t="n">
        <v>35</v>
      </c>
      <c r="H132" t="n">
        <v>1</v>
      </c>
      <c r="I132" t="n">
        <v>96</v>
      </c>
      <c r="J132">
        <f>I132*0.97</f>
        <v/>
      </c>
      <c r="K132">
        <f>J132</f>
        <v/>
      </c>
      <c r="L132">
        <f>H132*J132</f>
        <v/>
      </c>
      <c r="M132">
        <f>K132*H132</f>
        <v/>
      </c>
    </row>
    <row r="133">
      <c r="A133" t="inlineStr">
        <is>
          <t>17832460</t>
        </is>
      </c>
      <c r="B133">
        <f>LEFT(A133,4)</f>
        <v/>
      </c>
      <c r="C133" t="inlineStr">
        <is>
          <t>UNICA EFX LOW GTX</t>
        </is>
      </c>
      <c r="E133">
        <f>"8"&amp;RIGHT(A133,4)</f>
        <v/>
      </c>
      <c r="F133" t="n">
        <v>0</v>
      </c>
      <c r="G133" t="n">
        <v>39</v>
      </c>
      <c r="H133" t="n">
        <v>1</v>
      </c>
      <c r="I133" t="n">
        <v>96</v>
      </c>
      <c r="J133">
        <f>I133*0.97</f>
        <v/>
      </c>
      <c r="K133">
        <f>J133</f>
        <v/>
      </c>
      <c r="L133">
        <f>H133*J133</f>
        <v/>
      </c>
      <c r="M133">
        <f>K133*H133</f>
        <v/>
      </c>
    </row>
    <row r="134">
      <c r="A134">
        <f>A133</f>
        <v/>
      </c>
      <c r="B134">
        <f>LEFT(A134,4)</f>
        <v/>
      </c>
      <c r="C134" t="inlineStr">
        <is>
          <t>UNICA EFX LOW GTX</t>
        </is>
      </c>
      <c r="E134">
        <f>"8"&amp;RIGHT(A134,4)</f>
        <v/>
      </c>
      <c r="F134" t="n">
        <v>0</v>
      </c>
      <c r="G134" t="n">
        <v>40</v>
      </c>
      <c r="H134" t="n">
        <v>1</v>
      </c>
      <c r="I134" t="n">
        <v>96</v>
      </c>
      <c r="J134">
        <f>I134*0.97</f>
        <v/>
      </c>
      <c r="K134">
        <f>J134</f>
        <v/>
      </c>
      <c r="L134">
        <f>H134*J134</f>
        <v/>
      </c>
      <c r="M134">
        <f>K134*H134</f>
        <v/>
      </c>
    </row>
    <row r="135">
      <c r="A135" t="inlineStr">
        <is>
          <t>17603100</t>
        </is>
      </c>
      <c r="B135">
        <f>LEFT(A135,4)</f>
        <v/>
      </c>
      <c r="C135" t="inlineStr">
        <is>
          <t>LIBERA EFX</t>
        </is>
      </c>
      <c r="E135">
        <f>"8"&amp;RIGHT(A135,4)</f>
        <v/>
      </c>
      <c r="F135" t="n">
        <v>0</v>
      </c>
      <c r="G135" t="n">
        <v>41</v>
      </c>
      <c r="H135" t="n">
        <v>5</v>
      </c>
      <c r="I135" t="n">
        <v>87.5</v>
      </c>
      <c r="J135">
        <f>I135*0.97</f>
        <v/>
      </c>
      <c r="K135">
        <f>J135</f>
        <v/>
      </c>
      <c r="L135">
        <f>H135*J135</f>
        <v/>
      </c>
      <c r="M135">
        <f>K135*H135</f>
        <v/>
      </c>
    </row>
    <row r="136">
      <c r="A136">
        <f>A135</f>
        <v/>
      </c>
      <c r="B136">
        <f>LEFT(A136,4)</f>
        <v/>
      </c>
      <c r="C136" t="inlineStr">
        <is>
          <t>LIBERA EFX</t>
        </is>
      </c>
      <c r="E136">
        <f>"8"&amp;RIGHT(A136,4)</f>
        <v/>
      </c>
      <c r="F136" t="n">
        <v>0</v>
      </c>
      <c r="G136" t="n">
        <v>42</v>
      </c>
      <c r="H136" t="n">
        <v>27</v>
      </c>
      <c r="I136" t="n">
        <v>87.5</v>
      </c>
      <c r="J136">
        <f>I136*0.97</f>
        <v/>
      </c>
      <c r="K136">
        <f>J136</f>
        <v/>
      </c>
      <c r="L136">
        <f>H136*J136</f>
        <v/>
      </c>
      <c r="M136">
        <f>K136*H136</f>
        <v/>
      </c>
    </row>
    <row r="137">
      <c r="A137">
        <f>A136</f>
        <v/>
      </c>
      <c r="B137">
        <f>LEFT(A137,4)</f>
        <v/>
      </c>
      <c r="C137" t="inlineStr">
        <is>
          <t>LIBERA EFX</t>
        </is>
      </c>
      <c r="E137">
        <f>"8"&amp;RIGHT(A137,4)</f>
        <v/>
      </c>
      <c r="F137" t="n">
        <v>0</v>
      </c>
      <c r="G137" t="n">
        <v>43</v>
      </c>
      <c r="H137" t="n">
        <v>15</v>
      </c>
      <c r="I137" t="n">
        <v>87.5</v>
      </c>
      <c r="J137">
        <f>I137*0.97</f>
        <v/>
      </c>
      <c r="K137">
        <f>J137</f>
        <v/>
      </c>
      <c r="L137">
        <f>H137*J137</f>
        <v/>
      </c>
      <c r="M137">
        <f>K137*H137</f>
        <v/>
      </c>
    </row>
    <row r="138">
      <c r="A138">
        <f>A137</f>
        <v/>
      </c>
      <c r="B138">
        <f>LEFT(A138,4)</f>
        <v/>
      </c>
      <c r="C138" t="inlineStr">
        <is>
          <t>LIBERA EFX</t>
        </is>
      </c>
      <c r="E138">
        <f>"8"&amp;RIGHT(A138,4)</f>
        <v/>
      </c>
      <c r="F138" t="n">
        <v>0</v>
      </c>
      <c r="G138" t="n">
        <v>44</v>
      </c>
      <c r="H138" t="n">
        <v>1</v>
      </c>
      <c r="I138" t="n">
        <v>87.5</v>
      </c>
      <c r="J138">
        <f>I138*0.97</f>
        <v/>
      </c>
      <c r="K138">
        <f>J138</f>
        <v/>
      </c>
      <c r="L138">
        <f>H138*J138</f>
        <v/>
      </c>
      <c r="M138">
        <f>K138*H138</f>
        <v/>
      </c>
    </row>
    <row r="139">
      <c r="A139">
        <f>A138</f>
        <v/>
      </c>
      <c r="B139">
        <f>LEFT(A139,4)</f>
        <v/>
      </c>
      <c r="C139" t="inlineStr">
        <is>
          <t>LIBERA EFX</t>
        </is>
      </c>
      <c r="E139">
        <f>"8"&amp;RIGHT(A139,4)</f>
        <v/>
      </c>
      <c r="F139" t="n">
        <v>0</v>
      </c>
      <c r="G139" t="n">
        <v>45</v>
      </c>
      <c r="H139" t="n">
        <v>3</v>
      </c>
      <c r="I139" t="n">
        <v>87.5</v>
      </c>
      <c r="J139">
        <f>I139*0.97</f>
        <v/>
      </c>
      <c r="K139">
        <f>J139</f>
        <v/>
      </c>
      <c r="L139">
        <f>H139*J139</f>
        <v/>
      </c>
      <c r="M139">
        <f>K139*H139</f>
        <v/>
      </c>
    </row>
    <row r="140">
      <c r="A140" t="inlineStr">
        <is>
          <t>56603299</t>
        </is>
      </c>
      <c r="B140">
        <f>LEFT(A140,4)</f>
        <v/>
      </c>
      <c r="C140" t="inlineStr">
        <is>
          <t>MONACO LOW GTX</t>
        </is>
      </c>
      <c r="E140">
        <f>"8"&amp;RIGHT(A140,4)</f>
        <v/>
      </c>
      <c r="F140" t="n">
        <v>0</v>
      </c>
      <c r="G140" t="n">
        <v>42</v>
      </c>
      <c r="H140" t="n">
        <v>10</v>
      </c>
      <c r="I140" t="n">
        <v>105.8</v>
      </c>
      <c r="J140">
        <f>I140*0.97</f>
        <v/>
      </c>
      <c r="K140">
        <f>J140</f>
        <v/>
      </c>
      <c r="L140">
        <f>H140*J140</f>
        <v/>
      </c>
      <c r="M140">
        <f>K140*H140</f>
        <v/>
      </c>
    </row>
    <row r="141">
      <c r="A141">
        <f>A140</f>
        <v/>
      </c>
      <c r="B141">
        <f>LEFT(A141,4)</f>
        <v/>
      </c>
      <c r="C141" t="inlineStr">
        <is>
          <t>MONACO LOW GTX</t>
        </is>
      </c>
      <c r="E141">
        <f>"8"&amp;RIGHT(A141,4)</f>
        <v/>
      </c>
      <c r="F141" t="n">
        <v>0</v>
      </c>
      <c r="G141" t="n">
        <v>43</v>
      </c>
      <c r="H141" t="n">
        <v>31</v>
      </c>
      <c r="I141" t="n">
        <v>105.8</v>
      </c>
      <c r="J141">
        <f>I141*0.97</f>
        <v/>
      </c>
      <c r="K141">
        <f>J141</f>
        <v/>
      </c>
      <c r="L141">
        <f>H141*J141</f>
        <v/>
      </c>
      <c r="M141">
        <f>K141*H141</f>
        <v/>
      </c>
    </row>
    <row r="142">
      <c r="A142" t="inlineStr">
        <is>
          <t>17603100</t>
        </is>
      </c>
      <c r="B142">
        <f>LEFT(A142,4)</f>
        <v/>
      </c>
      <c r="C142" t="inlineStr">
        <is>
          <t>LIBERA EFX</t>
        </is>
      </c>
      <c r="E142">
        <f>"8"&amp;RIGHT(A142,4)</f>
        <v/>
      </c>
      <c r="F142" t="n">
        <v>0</v>
      </c>
      <c r="G142" t="n">
        <v>41</v>
      </c>
      <c r="H142" t="n">
        <v>4</v>
      </c>
      <c r="I142" t="n">
        <v>87.5</v>
      </c>
      <c r="J142">
        <f>I142*0.97</f>
        <v/>
      </c>
      <c r="K142">
        <f>J142</f>
        <v/>
      </c>
      <c r="L142">
        <f>H142*J142</f>
        <v/>
      </c>
      <c r="M142">
        <f>K142*H142</f>
        <v/>
      </c>
    </row>
    <row r="143">
      <c r="A143">
        <f>A142</f>
        <v/>
      </c>
      <c r="B143">
        <f>LEFT(A143,4)</f>
        <v/>
      </c>
      <c r="C143" t="inlineStr">
        <is>
          <t>LIBERA EFX</t>
        </is>
      </c>
      <c r="E143">
        <f>"8"&amp;RIGHT(A143,4)</f>
        <v/>
      </c>
      <c r="F143" t="n">
        <v>0</v>
      </c>
      <c r="G143" t="n">
        <v>42</v>
      </c>
      <c r="H143" t="n">
        <v>2</v>
      </c>
      <c r="I143" t="n">
        <v>87.5</v>
      </c>
      <c r="J143">
        <f>I143*0.97</f>
        <v/>
      </c>
      <c r="K143">
        <f>J143</f>
        <v/>
      </c>
      <c r="L143">
        <f>H143*J143</f>
        <v/>
      </c>
      <c r="M143">
        <f>K143*H143</f>
        <v/>
      </c>
    </row>
    <row r="144">
      <c r="A144">
        <f>A143</f>
        <v/>
      </c>
      <c r="B144">
        <f>LEFT(A144,4)</f>
        <v/>
      </c>
      <c r="C144" t="inlineStr">
        <is>
          <t>LIBERA EFX</t>
        </is>
      </c>
      <c r="E144">
        <f>"8"&amp;RIGHT(A144,4)</f>
        <v/>
      </c>
      <c r="F144" t="n">
        <v>0</v>
      </c>
      <c r="G144" t="n">
        <v>44</v>
      </c>
      <c r="H144" t="n">
        <v>4</v>
      </c>
      <c r="I144" t="n">
        <v>87.5</v>
      </c>
      <c r="J144">
        <f>I144*0.97</f>
        <v/>
      </c>
      <c r="K144">
        <f>J144</f>
        <v/>
      </c>
      <c r="L144">
        <f>H144*J144</f>
        <v/>
      </c>
      <c r="M144">
        <f>K144*H144</f>
        <v/>
      </c>
    </row>
    <row r="145">
      <c r="A145" t="inlineStr">
        <is>
          <t>17604100</t>
        </is>
      </c>
      <c r="B145">
        <f>LEFT(A145,4)</f>
        <v/>
      </c>
      <c r="C145" t="inlineStr">
        <is>
          <t>LIBERA EFX</t>
        </is>
      </c>
      <c r="E145">
        <f>"8"&amp;RIGHT(A145,4)</f>
        <v/>
      </c>
      <c r="F145" t="n">
        <v>0</v>
      </c>
      <c r="G145" t="n">
        <v>42</v>
      </c>
      <c r="H145" t="n">
        <v>3</v>
      </c>
      <c r="I145" t="n">
        <v>87.5</v>
      </c>
      <c r="J145">
        <f>I145*0.97</f>
        <v/>
      </c>
      <c r="K145">
        <f>J145</f>
        <v/>
      </c>
      <c r="L145">
        <f>H145*J145</f>
        <v/>
      </c>
      <c r="M145">
        <f>K145*H145</f>
        <v/>
      </c>
    </row>
    <row r="146">
      <c r="A146">
        <f>A145</f>
        <v/>
      </c>
      <c r="B146">
        <f>LEFT(A146,4)</f>
        <v/>
      </c>
      <c r="C146" t="inlineStr">
        <is>
          <t>LIBERA EFX</t>
        </is>
      </c>
      <c r="E146">
        <f>"8"&amp;RIGHT(A146,4)</f>
        <v/>
      </c>
      <c r="F146" t="n">
        <v>0</v>
      </c>
      <c r="G146" t="n">
        <v>43</v>
      </c>
      <c r="H146" t="n">
        <v>1</v>
      </c>
      <c r="I146" t="n">
        <v>87.5</v>
      </c>
      <c r="J146">
        <f>I146*0.97</f>
        <v/>
      </c>
      <c r="K146">
        <f>J146</f>
        <v/>
      </c>
      <c r="L146">
        <f>H146*J146</f>
        <v/>
      </c>
      <c r="M146">
        <f>K146*H146</f>
        <v/>
      </c>
    </row>
    <row r="147">
      <c r="A147" t="inlineStr">
        <is>
          <t>56603299</t>
        </is>
      </c>
      <c r="B147">
        <f>LEFT(A147,4)</f>
        <v/>
      </c>
      <c r="C147" t="inlineStr">
        <is>
          <t>MONACO LOW GTX</t>
        </is>
      </c>
      <c r="E147">
        <f>"8"&amp;RIGHT(A147,4)</f>
        <v/>
      </c>
      <c r="F147" t="n">
        <v>0</v>
      </c>
      <c r="G147" t="n">
        <v>42</v>
      </c>
      <c r="H147" t="n">
        <v>52</v>
      </c>
      <c r="I147" t="n">
        <v>105.8</v>
      </c>
      <c r="J147">
        <f>I147*0.97</f>
        <v/>
      </c>
      <c r="K147">
        <f>J147</f>
        <v/>
      </c>
      <c r="L147">
        <f>H147*J147</f>
        <v/>
      </c>
      <c r="M147">
        <f>K147*H147</f>
        <v/>
      </c>
    </row>
    <row r="148">
      <c r="A148">
        <f>A147</f>
        <v/>
      </c>
      <c r="B148">
        <f>LEFT(A148,4)</f>
        <v/>
      </c>
      <c r="C148" t="inlineStr">
        <is>
          <t>MONACO LOW GTX</t>
        </is>
      </c>
      <c r="E148">
        <f>"8"&amp;RIGHT(A148,4)</f>
        <v/>
      </c>
      <c r="F148" t="n">
        <v>0</v>
      </c>
      <c r="G148" t="n">
        <v>44</v>
      </c>
      <c r="H148" t="n">
        <v>19</v>
      </c>
      <c r="I148" t="n">
        <v>105.8</v>
      </c>
      <c r="J148">
        <f>I148*0.97</f>
        <v/>
      </c>
      <c r="K148">
        <f>J148</f>
        <v/>
      </c>
      <c r="L148">
        <f>H148*J148</f>
        <v/>
      </c>
      <c r="M148">
        <f>K148*H148</f>
        <v/>
      </c>
    </row>
    <row r="149">
      <c r="A149">
        <f>A148</f>
        <v/>
      </c>
      <c r="B149">
        <f>LEFT(A149,4)</f>
        <v/>
      </c>
      <c r="C149" t="inlineStr">
        <is>
          <t>MONACO LOW GTX</t>
        </is>
      </c>
      <c r="E149">
        <f>"8"&amp;RIGHT(A149,4)</f>
        <v/>
      </c>
      <c r="F149" t="n">
        <v>0</v>
      </c>
      <c r="G149" t="n">
        <v>45</v>
      </c>
      <c r="H149" t="n">
        <v>4</v>
      </c>
      <c r="I149" t="n">
        <v>105.8</v>
      </c>
      <c r="J149">
        <f>I149*0.97</f>
        <v/>
      </c>
      <c r="K149">
        <f>J149</f>
        <v/>
      </c>
      <c r="L149">
        <f>H149*J149</f>
        <v/>
      </c>
      <c r="M149">
        <f>K149*H149</f>
        <v/>
      </c>
    </row>
    <row r="150">
      <c r="A150">
        <f>A149</f>
        <v/>
      </c>
      <c r="B150">
        <f>LEFT(A150,4)</f>
        <v/>
      </c>
      <c r="C150" t="inlineStr">
        <is>
          <t>MONACO LOW GTX</t>
        </is>
      </c>
      <c r="E150">
        <f>"8"&amp;RIGHT(A150,4)</f>
        <v/>
      </c>
      <c r="F150" t="n">
        <v>0</v>
      </c>
      <c r="G150" t="n">
        <v>46</v>
      </c>
      <c r="H150" t="n">
        <v>3</v>
      </c>
      <c r="I150" t="n">
        <v>105.8</v>
      </c>
      <c r="J150">
        <f>I150*0.97</f>
        <v/>
      </c>
      <c r="K150">
        <f>J150</f>
        <v/>
      </c>
      <c r="L150">
        <f>H150*J150</f>
        <v/>
      </c>
      <c r="M150">
        <f>K150*H150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2" customWidth="1" min="4" max="4"/>
    <col width="14" customWidth="1" min="5" max="5"/>
  </cols>
  <sheetData>
    <row r="1">
      <c r="A1" s="2" t="inlineStr">
        <is>
          <t>4微</t>
        </is>
      </c>
      <c r="B1" s="2" t="inlineStr">
        <is>
          <t>折后单价</t>
        </is>
      </c>
      <c r="C1" s="2" t="inlineStr">
        <is>
          <t>报关用</t>
        </is>
      </c>
      <c r="D1" s="2" t="inlineStr">
        <is>
          <t>求和项:数量</t>
        </is>
      </c>
      <c r="E1" s="2" t="inlineStr">
        <is>
          <t>求和项:总价</t>
        </is>
      </c>
    </row>
    <row r="2">
      <c r="A2" t="n">
        <v>5600</v>
      </c>
      <c r="B2" t="n">
        <v>104.081</v>
      </c>
      <c r="C2" t="inlineStr">
        <is>
          <t>MONACO/TINN GTX</t>
        </is>
      </c>
      <c r="D2" t="n">
        <v>34</v>
      </c>
      <c r="E2" t="n">
        <v>3538.75</v>
      </c>
    </row>
    <row r="3">
      <c r="A3" t="n">
        <v>5600</v>
      </c>
      <c r="B3" t="n">
        <v>104.081</v>
      </c>
      <c r="C3" t="inlineStr">
        <is>
          <t>MONACO/TINN GTX</t>
        </is>
      </c>
      <c r="D3" t="n">
        <v>311</v>
      </c>
      <c r="E3" t="n">
        <v>32369.19</v>
      </c>
    </row>
    <row r="4">
      <c r="A4" t="n">
        <v>5660</v>
      </c>
      <c r="B4" t="n">
        <v>102.626</v>
      </c>
      <c r="C4" t="inlineStr">
        <is>
          <t>MONACO LOW GTX</t>
        </is>
      </c>
      <c r="D4" t="n">
        <v>1</v>
      </c>
      <c r="E4" t="n">
        <v>102.63</v>
      </c>
    </row>
    <row r="5">
      <c r="A5" t="n">
        <v>1783</v>
      </c>
      <c r="B5" t="n">
        <v>93.12</v>
      </c>
      <c r="C5" t="inlineStr">
        <is>
          <t>UNICA EFX LOW GTX</t>
        </is>
      </c>
      <c r="D5" t="n">
        <v>57</v>
      </c>
      <c r="E5" t="n">
        <v>5307.84</v>
      </c>
    </row>
    <row r="6">
      <c r="A6" t="n">
        <v>1783</v>
      </c>
      <c r="B6" t="n">
        <v>93.12</v>
      </c>
      <c r="C6" t="inlineStr">
        <is>
          <t>UNICA EFX LOW GTX</t>
        </is>
      </c>
      <c r="D6" t="n">
        <v>45</v>
      </c>
      <c r="E6" t="n">
        <v>4190.4</v>
      </c>
    </row>
    <row r="7">
      <c r="A7" t="n">
        <v>6230</v>
      </c>
      <c r="B7" t="n">
        <v>106.215</v>
      </c>
      <c r="C7" t="inlineStr">
        <is>
          <t>PERFETTA GTX</t>
        </is>
      </c>
      <c r="D7" t="n">
        <v>1</v>
      </c>
      <c r="E7" t="n">
        <v>106.22</v>
      </c>
    </row>
    <row r="8">
      <c r="A8" t="n">
        <v>5660</v>
      </c>
      <c r="B8" t="n">
        <v>102.626</v>
      </c>
      <c r="C8" t="inlineStr">
        <is>
          <t>MONACO LOW GTX</t>
        </is>
      </c>
      <c r="D8" t="n">
        <v>762</v>
      </c>
      <c r="E8" t="n">
        <v>78201.00999999999</v>
      </c>
    </row>
    <row r="9">
      <c r="A9" t="n">
        <v>1760</v>
      </c>
      <c r="B9" t="n">
        <v>84.875</v>
      </c>
      <c r="C9" t="inlineStr">
        <is>
          <t>LIBERA EFX</t>
        </is>
      </c>
      <c r="D9" t="n">
        <v>303</v>
      </c>
      <c r="E9" t="n">
        <v>25717.12</v>
      </c>
    </row>
    <row r="10">
      <c r="A10" t="n">
        <v>1760</v>
      </c>
      <c r="B10" t="n">
        <v>84.875</v>
      </c>
      <c r="C10" t="inlineStr">
        <is>
          <t>LIBERA EFX</t>
        </is>
      </c>
      <c r="D10" t="n">
        <v>416</v>
      </c>
      <c r="E10" t="n">
        <v>35308</v>
      </c>
    </row>
    <row r="11">
      <c r="A11" t="n">
        <v>1760</v>
      </c>
      <c r="B11" t="n">
        <v>84.875</v>
      </c>
      <c r="C11" t="inlineStr">
        <is>
          <t>LIBERA EFX</t>
        </is>
      </c>
      <c r="D11" t="n">
        <v>445</v>
      </c>
      <c r="E11" t="n">
        <v>37769.38</v>
      </c>
    </row>
    <row r="12">
      <c r="A12" s="3" t="inlineStr">
        <is>
          <t>总计</t>
        </is>
      </c>
      <c r="D12">
        <f>SUM(D2:D11)</f>
        <v/>
      </c>
      <c r="E12">
        <f>SUM(E2:E11)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M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2" customWidth="1" min="4" max="4"/>
    <col width="14" customWidth="1" min="5" max="5"/>
    <col width="2" customWidth="1" min="6" max="6"/>
    <col width="8" customWidth="1" min="7" max="7"/>
    <col width="22" customWidth="1" min="8" max="8"/>
    <col width="10" customWidth="1" min="9" max="9"/>
    <col width="12" customWidth="1" min="10" max="10"/>
    <col width="14" customWidth="1" min="11" max="11"/>
    <col width="12" customWidth="1" min="12" max="12"/>
    <col width="14" customWidth="1" min="13" max="13"/>
  </cols>
  <sheetData>
    <row r="2">
      <c r="A2" s="2" t="inlineStr">
        <is>
          <t>4微</t>
        </is>
      </c>
      <c r="B2" s="2" t="inlineStr">
        <is>
          <t>折后单价</t>
        </is>
      </c>
      <c r="C2" s="2" t="inlineStr">
        <is>
          <t>报关用</t>
        </is>
      </c>
      <c r="D2" s="2" t="inlineStr">
        <is>
          <t>求和项:数量</t>
        </is>
      </c>
      <c r="E2" s="2" t="inlineStr">
        <is>
          <t>求和项:总价</t>
        </is>
      </c>
      <c r="G2" s="2" t="inlineStr">
        <is>
          <t>货号</t>
        </is>
      </c>
      <c r="H2" s="2" t="inlineStr">
        <is>
          <t>报关用</t>
        </is>
      </c>
      <c r="I2" s="2" t="inlineStr">
        <is>
          <t>折后单价</t>
        </is>
      </c>
      <c r="J2" s="2" t="inlineStr">
        <is>
          <t>求和项:数量</t>
        </is>
      </c>
      <c r="K2" s="2" t="inlineStr">
        <is>
          <t>求和项:总价</t>
        </is>
      </c>
      <c r="L2" s="2" t="inlineStr">
        <is>
          <t>含运费单价</t>
        </is>
      </c>
      <c r="M2" s="2" t="inlineStr"/>
    </row>
    <row r="3">
      <c r="A3" t="n">
        <v>5600</v>
      </c>
      <c r="B3" t="n">
        <v>104.081</v>
      </c>
      <c r="C3" t="inlineStr">
        <is>
          <t>MONACO/TINN GTX</t>
        </is>
      </c>
      <c r="D3" t="n">
        <v>34</v>
      </c>
      <c r="E3" t="n">
        <v>3538.75</v>
      </c>
      <c r="G3" t="n">
        <v>5600</v>
      </c>
      <c r="H3" t="inlineStr">
        <is>
          <t>MONACO/TINN GTX</t>
        </is>
      </c>
      <c r="I3" t="n">
        <v>104.081</v>
      </c>
      <c r="J3" t="n">
        <v>34</v>
      </c>
      <c r="K3">
        <f>I3*J3</f>
        <v/>
      </c>
      <c r="L3">
        <f>I3+0.11</f>
        <v/>
      </c>
      <c r="M3">
        <f>L3*J3</f>
        <v/>
      </c>
    </row>
    <row r="4">
      <c r="A4" t="n">
        <v>5600</v>
      </c>
      <c r="B4" t="n">
        <v>104.081</v>
      </c>
      <c r="C4" t="inlineStr">
        <is>
          <t>MONACO/TINN GTX</t>
        </is>
      </c>
      <c r="D4" t="n">
        <v>311</v>
      </c>
      <c r="E4" t="n">
        <v>32369.19</v>
      </c>
      <c r="G4" t="n">
        <v>5600</v>
      </c>
      <c r="H4" t="inlineStr">
        <is>
          <t>MONACO/TINN GTX</t>
        </is>
      </c>
      <c r="I4" t="n">
        <v>104.081</v>
      </c>
      <c r="J4" t="n">
        <v>311</v>
      </c>
      <c r="K4">
        <f>I4*J4</f>
        <v/>
      </c>
      <c r="L4">
        <f>I4+0.11</f>
        <v/>
      </c>
      <c r="M4">
        <f>L4*J4</f>
        <v/>
      </c>
    </row>
    <row r="5">
      <c r="A5" t="n">
        <v>5660</v>
      </c>
      <c r="B5" t="n">
        <v>102.626</v>
      </c>
      <c r="C5" t="inlineStr">
        <is>
          <t>MONACO LOW GTX</t>
        </is>
      </c>
      <c r="D5" t="n">
        <v>1</v>
      </c>
      <c r="E5" t="n">
        <v>102.63</v>
      </c>
      <c r="G5" t="n">
        <v>5660</v>
      </c>
      <c r="H5" t="inlineStr">
        <is>
          <t>MONACO LOW GTX</t>
        </is>
      </c>
      <c r="I5" t="n">
        <v>102.626</v>
      </c>
      <c r="J5" t="n">
        <v>1</v>
      </c>
      <c r="K5">
        <f>I5*J5</f>
        <v/>
      </c>
      <c r="L5">
        <f>I5+0.11</f>
        <v/>
      </c>
      <c r="M5">
        <f>L5*J5</f>
        <v/>
      </c>
    </row>
    <row r="6">
      <c r="A6" t="n">
        <v>1783</v>
      </c>
      <c r="B6" t="n">
        <v>93.12</v>
      </c>
      <c r="C6" t="inlineStr">
        <is>
          <t>UNICA EFX LOW GTX</t>
        </is>
      </c>
      <c r="D6" t="n">
        <v>57</v>
      </c>
      <c r="E6" t="n">
        <v>5307.84</v>
      </c>
      <c r="G6" t="n">
        <v>1783</v>
      </c>
      <c r="H6" t="inlineStr">
        <is>
          <t>UNICA EFX LOW GTX</t>
        </is>
      </c>
      <c r="I6" t="n">
        <v>93.12</v>
      </c>
      <c r="J6" t="n">
        <v>57</v>
      </c>
      <c r="K6">
        <f>I6*J6</f>
        <v/>
      </c>
      <c r="L6">
        <f>I6+0.11</f>
        <v/>
      </c>
      <c r="M6">
        <f>L6*J6</f>
        <v/>
      </c>
    </row>
    <row r="7">
      <c r="A7" t="n">
        <v>1783</v>
      </c>
      <c r="B7" t="n">
        <v>93.12</v>
      </c>
      <c r="C7" t="inlineStr">
        <is>
          <t>UNICA EFX LOW GTX</t>
        </is>
      </c>
      <c r="D7" t="n">
        <v>45</v>
      </c>
      <c r="E7" t="n">
        <v>4190.4</v>
      </c>
      <c r="G7" t="n">
        <v>1783</v>
      </c>
      <c r="H7" t="inlineStr">
        <is>
          <t>UNICA EFX LOW GTX</t>
        </is>
      </c>
      <c r="I7" t="n">
        <v>93.12</v>
      </c>
      <c r="J7" t="n">
        <v>45</v>
      </c>
      <c r="K7">
        <f>I7*J7</f>
        <v/>
      </c>
      <c r="L7">
        <f>I7+0.11</f>
        <v/>
      </c>
      <c r="M7">
        <f>L7*J7</f>
        <v/>
      </c>
    </row>
    <row r="8">
      <c r="A8" t="n">
        <v>6230</v>
      </c>
      <c r="B8" t="n">
        <v>106.215</v>
      </c>
      <c r="C8" t="inlineStr">
        <is>
          <t>PERFETTA GTX</t>
        </is>
      </c>
      <c r="D8" t="n">
        <v>1</v>
      </c>
      <c r="E8" t="n">
        <v>106.22</v>
      </c>
      <c r="G8" t="n">
        <v>6230</v>
      </c>
      <c r="H8" t="inlineStr">
        <is>
          <t>PERFETTA GTX</t>
        </is>
      </c>
      <c r="I8" t="n">
        <v>106.215</v>
      </c>
      <c r="J8" t="n">
        <v>1</v>
      </c>
      <c r="K8">
        <f>I8*J8</f>
        <v/>
      </c>
      <c r="L8">
        <f>I8+0.11</f>
        <v/>
      </c>
      <c r="M8">
        <f>L8*J8</f>
        <v/>
      </c>
    </row>
    <row r="9">
      <c r="A9" t="n">
        <v>5660</v>
      </c>
      <c r="B9" t="n">
        <v>102.626</v>
      </c>
      <c r="C9" t="inlineStr">
        <is>
          <t>MONACO LOW GTX</t>
        </is>
      </c>
      <c r="D9" t="n">
        <v>762</v>
      </c>
      <c r="E9" t="n">
        <v>78201.00999999999</v>
      </c>
      <c r="G9" t="n">
        <v>5660</v>
      </c>
      <c r="H9" t="inlineStr">
        <is>
          <t>MONACO LOW GTX</t>
        </is>
      </c>
      <c r="I9" t="n">
        <v>102.626</v>
      </c>
      <c r="J9" t="n">
        <v>762</v>
      </c>
      <c r="K9">
        <f>I9*J9</f>
        <v/>
      </c>
      <c r="L9">
        <f>I9+0.11</f>
        <v/>
      </c>
      <c r="M9">
        <f>L9*J9</f>
        <v/>
      </c>
    </row>
    <row r="10">
      <c r="A10" t="n">
        <v>1760</v>
      </c>
      <c r="B10" t="n">
        <v>84.875</v>
      </c>
      <c r="C10" t="inlineStr">
        <is>
          <t>LIBERA EFX</t>
        </is>
      </c>
      <c r="D10" t="n">
        <v>303</v>
      </c>
      <c r="E10" t="n">
        <v>25717.12</v>
      </c>
      <c r="G10" t="n">
        <v>1760</v>
      </c>
      <c r="H10" t="inlineStr">
        <is>
          <t>LIBERA EFX</t>
        </is>
      </c>
      <c r="I10" t="n">
        <v>84.875</v>
      </c>
      <c r="J10" t="n">
        <v>303</v>
      </c>
      <c r="K10">
        <f>I10*J10</f>
        <v/>
      </c>
      <c r="L10">
        <f>I10+0.11</f>
        <v/>
      </c>
      <c r="M10">
        <f>L10*J10</f>
        <v/>
      </c>
    </row>
    <row r="11">
      <c r="A11" t="n">
        <v>1760</v>
      </c>
      <c r="B11" t="n">
        <v>84.875</v>
      </c>
      <c r="C11" t="inlineStr">
        <is>
          <t>LIBERA EFX</t>
        </is>
      </c>
      <c r="D11" t="n">
        <v>416</v>
      </c>
      <c r="E11" t="n">
        <v>35308</v>
      </c>
      <c r="G11" t="n">
        <v>1760</v>
      </c>
      <c r="H11" t="inlineStr">
        <is>
          <t>LIBERA EFX</t>
        </is>
      </c>
      <c r="I11" t="n">
        <v>84.875</v>
      </c>
      <c r="J11" t="n">
        <v>416</v>
      </c>
      <c r="K11">
        <f>I11*J11</f>
        <v/>
      </c>
      <c r="L11">
        <f>I11+0.11</f>
        <v/>
      </c>
      <c r="M11">
        <f>L11*J11</f>
        <v/>
      </c>
    </row>
    <row r="12">
      <c r="A12" t="n">
        <v>1760</v>
      </c>
      <c r="B12" t="n">
        <v>84.875</v>
      </c>
      <c r="C12" t="inlineStr">
        <is>
          <t>LIBERA EFX</t>
        </is>
      </c>
      <c r="D12" t="n">
        <v>445</v>
      </c>
      <c r="E12" t="n">
        <v>37769.38</v>
      </c>
      <c r="G12" t="n">
        <v>1760</v>
      </c>
      <c r="H12" t="inlineStr">
        <is>
          <t>LIBERA EFX</t>
        </is>
      </c>
      <c r="I12" t="n">
        <v>84.875</v>
      </c>
      <c r="J12" t="n">
        <v>445</v>
      </c>
      <c r="K12">
        <f>I12*J12</f>
        <v/>
      </c>
      <c r="L12">
        <f>I12+0.11</f>
        <v/>
      </c>
      <c r="M12">
        <f>L12*J12</f>
        <v/>
      </c>
    </row>
    <row r="13">
      <c r="A13" s="3" t="inlineStr">
        <is>
          <t>总计</t>
        </is>
      </c>
      <c r="D13">
        <f>SUM(D3:D12)</f>
        <v/>
      </c>
      <c r="E13">
        <f>SUM(E3:E12)</f>
        <v/>
      </c>
      <c r="H13" s="3" t="inlineStr">
        <is>
          <t>总计</t>
        </is>
      </c>
      <c r="J13">
        <f>SUM(J3:J12)</f>
        <v/>
      </c>
      <c r="K13">
        <f>SUM(K3:K12)</f>
        <v/>
      </c>
      <c r="M13">
        <f>SUM(M3:M12)</f>
        <v/>
      </c>
    </row>
    <row r="16">
      <c r="E16" t="n">
        <v>222610.54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2026-04-02T02:06:31Z</dcterms:created>
  <dcterms:modified xsi:type="dcterms:W3CDTF">2026-04-02T02:06:31Z</dcterms:modified>
</cp:coreProperties>
</file>